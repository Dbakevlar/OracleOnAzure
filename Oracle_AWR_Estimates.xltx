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kegorman_microsoft_com/Documents/"/>
    </mc:Choice>
  </mc:AlternateContent>
  <xr:revisionPtr revIDLastSave="0" documentId="8_{B2EDB40C-4175-4936-BE65-004555560311}" xr6:coauthVersionLast="45" xr6:coauthVersionMax="45" xr10:uidLastSave="{00000000-0000-0000-0000-000000000000}"/>
  <bookViews>
    <workbookView xWindow="-103" yWindow="-103" windowWidth="25920" windowHeight="16749" activeTab="1" xr2:uid="{B5A66F4D-52B7-4754-9584-EB2C94538BF5}"/>
  </bookViews>
  <sheets>
    <sheet name="AWR" sheetId="2" r:id="rId1"/>
    <sheet name="Calculations" sheetId="1" r:id="rId2"/>
  </sheets>
  <definedNames>
    <definedName name="BusyCPUfactor">AWR!$E$25</definedName>
    <definedName name="BusyCPUmultiplier">AWR!$E$26</definedName>
    <definedName name="HighCpuThreshold">AWR!$E$25</definedName>
    <definedName name="IoMetricsFactor">AWR!$E$27</definedName>
    <definedName name="PeakCPUfactor" localSheetId="0">AWR!$E$22</definedName>
    <definedName name="PeakCpuFactor">AWR!$E$22</definedName>
    <definedName name="PeakRAMfactor" localSheetId="0">AWR!$E$23</definedName>
    <definedName name="PeakRAMfactor">AWR!$E$23</definedName>
    <definedName name="vCPUHTFactor">AWR!$E$24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6" i="1" l="1"/>
  <c r="D26" i="1"/>
  <c r="E26" i="1"/>
  <c r="F26" i="1"/>
  <c r="G26" i="1"/>
  <c r="H26" i="1"/>
  <c r="I26" i="1"/>
  <c r="J26" i="1"/>
  <c r="K26" i="1"/>
  <c r="C25" i="1"/>
  <c r="D25" i="1"/>
  <c r="E25" i="1"/>
  <c r="F25" i="1"/>
  <c r="G25" i="1"/>
  <c r="H25" i="1"/>
  <c r="I25" i="1"/>
  <c r="J25" i="1"/>
  <c r="K25" i="1"/>
  <c r="C27" i="1"/>
  <c r="D27" i="1"/>
  <c r="E27" i="1"/>
  <c r="F27" i="1"/>
  <c r="G27" i="1"/>
  <c r="H27" i="1"/>
  <c r="I27" i="1"/>
  <c r="J27" i="1"/>
  <c r="K27" i="1"/>
  <c r="D17" i="1"/>
  <c r="D18" i="1"/>
  <c r="D16" i="1"/>
  <c r="D7" i="1"/>
  <c r="D8" i="1"/>
  <c r="D9" i="1"/>
  <c r="D15" i="1" l="1"/>
  <c r="K28" i="1" l="1"/>
  <c r="I28" i="1" l="1"/>
  <c r="H28" i="1"/>
  <c r="D28" i="1"/>
  <c r="F28" i="1"/>
  <c r="G24" i="1"/>
  <c r="G28" i="1"/>
  <c r="H6" i="1"/>
  <c r="R5" i="2"/>
  <c r="R6" i="2"/>
  <c r="R7" i="2"/>
  <c r="R8" i="2"/>
  <c r="H15" i="1" s="1"/>
  <c r="R9" i="2"/>
  <c r="R10" i="2"/>
  <c r="R11" i="2"/>
  <c r="R12" i="2"/>
  <c r="R13" i="2"/>
  <c r="R14" i="2"/>
  <c r="R15" i="2"/>
  <c r="R16" i="2"/>
  <c r="R17" i="2"/>
  <c r="R18" i="2"/>
  <c r="R19" i="2"/>
  <c r="R20" i="2"/>
  <c r="H16" i="1" l="1"/>
  <c r="H7" i="1"/>
  <c r="H11" i="1" s="1"/>
  <c r="H18" i="1"/>
  <c r="H9" i="1"/>
  <c r="H8" i="1"/>
  <c r="H17" i="1"/>
  <c r="G29" i="1"/>
  <c r="I24" i="1"/>
  <c r="I29" i="1" s="1"/>
  <c r="V5" i="2"/>
  <c r="V6" i="2"/>
  <c r="V7" i="2"/>
  <c r="V8" i="2"/>
  <c r="I15" i="1" s="1"/>
  <c r="V9" i="2"/>
  <c r="V10" i="2"/>
  <c r="V11" i="2"/>
  <c r="V12" i="2"/>
  <c r="V13" i="2"/>
  <c r="V14" i="2"/>
  <c r="V15" i="2"/>
  <c r="V16" i="2"/>
  <c r="V17" i="2"/>
  <c r="V18" i="2"/>
  <c r="V19" i="2"/>
  <c r="V20" i="2"/>
  <c r="U5" i="2"/>
  <c r="U6" i="2"/>
  <c r="U7" i="2"/>
  <c r="U8" i="2"/>
  <c r="F15" i="1" s="1"/>
  <c r="U9" i="2"/>
  <c r="U10" i="2"/>
  <c r="U11" i="2"/>
  <c r="U12" i="2"/>
  <c r="U13" i="2"/>
  <c r="U14" i="2"/>
  <c r="U15" i="2"/>
  <c r="U16" i="2"/>
  <c r="U17" i="2"/>
  <c r="U18" i="2"/>
  <c r="U19" i="2"/>
  <c r="U20" i="2"/>
  <c r="T5" i="2"/>
  <c r="T6" i="2"/>
  <c r="T7" i="2"/>
  <c r="T8" i="2"/>
  <c r="E15" i="1" s="1"/>
  <c r="T9" i="2"/>
  <c r="T10" i="2"/>
  <c r="T11" i="2"/>
  <c r="T12" i="2"/>
  <c r="T13" i="2"/>
  <c r="T14" i="2"/>
  <c r="T15" i="2"/>
  <c r="T16" i="2"/>
  <c r="T17" i="2"/>
  <c r="T18" i="2"/>
  <c r="T19" i="2"/>
  <c r="T20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H20" i="1" l="1"/>
  <c r="E18" i="1"/>
  <c r="E9" i="1"/>
  <c r="G18" i="1"/>
  <c r="G9" i="1"/>
  <c r="F18" i="1"/>
  <c r="F9" i="1"/>
  <c r="I9" i="1"/>
  <c r="I18" i="1"/>
  <c r="G8" i="1"/>
  <c r="G17" i="1"/>
  <c r="E8" i="1"/>
  <c r="E17" i="1"/>
  <c r="F8" i="1"/>
  <c r="F17" i="1"/>
  <c r="I8" i="1"/>
  <c r="I17" i="1"/>
  <c r="G16" i="1"/>
  <c r="G7" i="1"/>
  <c r="E7" i="1"/>
  <c r="E16" i="1"/>
  <c r="F7" i="1"/>
  <c r="F16" i="1"/>
  <c r="I16" i="1"/>
  <c r="I7" i="1"/>
  <c r="J28" i="1"/>
  <c r="C24" i="1"/>
  <c r="C28" i="1"/>
  <c r="D6" i="1"/>
  <c r="G15" i="1"/>
  <c r="E28" i="1"/>
  <c r="I20" i="1" l="1"/>
  <c r="I6" i="1"/>
  <c r="J24" i="1" s="1"/>
  <c r="K24" i="1" s="1"/>
  <c r="F24" i="1"/>
  <c r="H24" i="1" s="1"/>
  <c r="H29" i="1" s="1"/>
  <c r="G6" i="1"/>
  <c r="G20" i="1"/>
  <c r="F6" i="1"/>
  <c r="D24" i="1"/>
  <c r="D29" i="1" s="1"/>
  <c r="E6" i="1"/>
  <c r="E24" i="1" l="1"/>
  <c r="E11" i="1"/>
  <c r="G11" i="1" l="1"/>
  <c r="D11" i="1" l="1"/>
  <c r="F11" i="1"/>
  <c r="I11" i="1" l="1"/>
  <c r="E29" i="1" l="1"/>
  <c r="K29" i="1"/>
  <c r="D20" i="1" l="1"/>
  <c r="C29" i="1"/>
  <c r="F20" i="1"/>
  <c r="J29" i="1"/>
  <c r="F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4" authorId="0" shapeId="0" xr:uid="{56A208CC-F090-4244-A22D-D14CEC187070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C4" authorId="0" shapeId="0" xr:uid="{C9815722-1148-45F6-BFEF-819A3A9157CF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D4" authorId="0" shapeId="0" xr:uid="{C1B73952-AB3A-45D0-8F3D-171B92CF4498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E4" authorId="0" shapeId="0" xr:uid="{2F866C56-2DF9-4F7D-A28B-D86A3B4F708D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F4" authorId="0" shapeId="0" xr:uid="{187E827A-E0F9-4D33-8A52-BD9E495A4EEA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G4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"Wait Classes by Total Wait Time" section near top of AWR report</t>
        </r>
      </text>
    </comment>
    <comment ref="H4" authorId="0" shapeId="0" xr:uid="{F153907A-CCC9-4558-837C-D0EA52C98B0F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I4" authorId="0" shapeId="0" xr:uid="{D7ECFD29-03B9-4BC0-BC0E-0D346F569E45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J4" authorId="0" shapeId="0" xr:uid="{282237EF-3A8B-455F-807A-01CB607C7898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K4" authorId="0" shapeId="0" xr:uid="{FE210763-BA3D-487A-B5CE-EE8E7ADCC337}">
      <text>
        <r>
          <rPr>
            <b/>
            <sz val="9"/>
            <color indexed="81"/>
            <rFont val="Tahoma"/>
            <charset val="1"/>
          </rPr>
          <t>Copied from "Instance CPU" section of AWR report</t>
        </r>
      </text>
    </comment>
    <comment ref="L4" authorId="0" shapeId="0" xr:uid="{A38CA77A-6314-4E8E-A582-BDE5DC1D13A5}">
      <text>
        <r>
          <rPr>
            <b/>
            <sz val="9"/>
            <color indexed="81"/>
            <rFont val="Tahoma"/>
            <charset val="1"/>
          </rPr>
          <t>Copied from "Memory Statistics" section of AWR report</t>
        </r>
      </text>
    </comment>
    <comment ref="M4" authorId="0" shapeId="0" xr:uid="{216063AB-2C8E-427D-BA6B-658FE2CEF262}">
      <text>
        <r>
          <rPr>
            <b/>
            <sz val="9"/>
            <color indexed="81"/>
            <rFont val="Tahoma"/>
            <charset val="1"/>
          </rPr>
          <t>Copied from "Memory Statistics" section of AWR report</t>
        </r>
      </text>
    </comment>
    <comment ref="N4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4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4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4" authorId="0" shapeId="0" xr:uid="{16F84460-D708-4A40-91B4-2DAC245170ED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D22" authorId="0" shapeId="0" xr:uid="{E21E9859-F0CD-486F-879B-C2D9FF9A5B86}">
      <text>
        <r>
          <rPr>
            <b/>
            <sz val="9"/>
            <color indexed="81"/>
            <rFont val="Tahoma"/>
            <family val="2"/>
          </rPr>
          <t>Rationale for peak vCPU factor is that CPU utilization stays below 33% on average</t>
        </r>
      </text>
    </comment>
    <comment ref="D23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24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25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26" authorId="0" shapeId="0" xr:uid="{D7427406-F23F-4D5F-80D5-ED4D30FD5BE5}">
      <text>
        <r>
          <rPr>
            <b/>
            <sz val="9"/>
            <color indexed="81"/>
            <rFont val="Tahoma"/>
            <charset val="1"/>
          </rPr>
          <t>If "%busy CPU" is higher than threshold, use this multiplier when calculating Azure vCPUs</t>
        </r>
      </text>
    </comment>
    <comment ref="D27" authorId="0" shapeId="0" xr:uid="{622297FB-C5C4-472F-A57D-A14094C20285}">
      <text>
        <r>
          <rPr>
            <b/>
            <sz val="9"/>
            <color indexed="81"/>
            <rFont val="Tahoma"/>
            <charset val="1"/>
          </rPr>
          <t>Rationale is that observed AWR readings are "average" and this multiplier is for "peak" readings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5" authorId="0" shapeId="0" xr:uid="{6BAA05F8-624D-4588-8522-CC11285F9D58}">
      <text>
        <r>
          <rPr>
            <b/>
            <sz val="9"/>
            <color indexed="81"/>
            <rFont val="Tahoma"/>
            <charset val="1"/>
          </rPr>
          <t>Copied from "Database Summary" section at very top of AWR report</t>
        </r>
      </text>
    </comment>
    <comment ref="D5" authorId="0" shapeId="0" xr:uid="{00884E61-4403-4C2B-ACF1-EA94A10E3C0E}">
      <text>
        <r>
          <rPr>
            <b/>
            <sz val="9"/>
            <color indexed="81"/>
            <rFont val="Tahoma"/>
            <family val="2"/>
          </rPr>
          <t>DB Time divided by the #seconds/week times #HT2 cores</t>
        </r>
      </text>
    </comment>
    <comment ref="G5" authorId="0" shapeId="0" xr:uid="{EFF19871-280A-4CEC-BAB3-0475D06A736D}">
      <text>
        <r>
          <rPr>
            <b/>
            <sz val="9"/>
            <color indexed="81"/>
            <rFont val="Tahoma"/>
            <family val="2"/>
          </rPr>
          <t>Calculated from "Read IOPS" plus "Write IOPS"</t>
        </r>
      </text>
    </comment>
    <comment ref="I5" authorId="0" shapeId="0" xr:uid="{EB52B6A2-4F97-43A4-BD24-6C4EA523E495}">
      <text>
        <r>
          <rPr>
            <b/>
            <sz val="9"/>
            <color indexed="81"/>
            <rFont val="Tahoma"/>
            <family val="2"/>
          </rPr>
          <t>Calculated from "DB Time" divided by the total time period covered by the report</t>
        </r>
      </text>
    </comment>
    <comment ref="D14" authorId="0" shapeId="0" xr:uid="{F5C2A444-0361-4F82-9E97-4C49563B2603}">
      <text>
        <r>
          <rPr>
            <b/>
            <sz val="9"/>
            <color indexed="81"/>
            <rFont val="Tahoma"/>
            <family val="2"/>
          </rPr>
          <t>Aggregated from "%DB Time" column in the section above</t>
        </r>
      </text>
    </comment>
    <comment ref="F14" authorId="0" shapeId="0" xr:uid="{40FE3EE2-8C56-45F0-BBA4-7F2591DBD9FA}">
      <text>
        <r>
          <rPr>
            <b/>
            <sz val="9"/>
            <color indexed="81"/>
            <rFont val="Tahoma"/>
            <family val="2"/>
          </rPr>
          <t>Aggregated from "Total SGA" and "Total PGA"</t>
        </r>
      </text>
    </comment>
    <comment ref="C23" authorId="0" shapeId="0" xr:uid="{4ABDC8AF-B59E-4143-94C8-881D95F80635}">
      <text>
        <r>
          <rPr>
            <b/>
            <sz val="9"/>
            <color indexed="81"/>
            <rFont val="Tahoma"/>
            <family val="2"/>
          </rPr>
          <t>Aggregated from the "%DB Time" column in the detailed section above</t>
        </r>
      </text>
    </comment>
    <comment ref="F23" authorId="0" shapeId="0" xr:uid="{1180554F-3C3E-422D-A73B-346D1F28CE49}">
      <text>
        <r>
          <rPr>
            <b/>
            <sz val="9"/>
            <color indexed="81"/>
            <rFont val="Tahoma"/>
            <family val="2"/>
          </rPr>
          <t>Aggregated from the "Total IOPS" column in the detailed section above</t>
        </r>
      </text>
    </comment>
    <comment ref="J23" authorId="0" shapeId="0" xr:uid="{43AC00C9-ACBB-4E8E-9C87-BD828C2CE6E3}">
      <text>
        <r>
          <rPr>
            <b/>
            <sz val="9"/>
            <color indexed="81"/>
            <rFont val="Tahoma"/>
            <family val="2"/>
          </rPr>
          <t>Aggregated from "Est'd Azure vCPUs" column in detailed section above, rounded up</t>
        </r>
      </text>
    </comment>
  </commentList>
</comments>
</file>

<file path=xl/sharedStrings.xml><?xml version="1.0" encoding="utf-8"?>
<sst xmlns="http://schemas.openxmlformats.org/spreadsheetml/2006/main" count="84" uniqueCount="62">
  <si>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</si>
  <si>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</si>
  <si>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</si>
  <si>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</si>
  <si>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</si>
  <si>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</si>
  <si>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</si>
  <si>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</si>
  <si>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</si>
  <si>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</si>
  <si>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Peak CPU factor</t>
  </si>
  <si>
    <t>Est'd RAM factor</t>
  </si>
  <si>
    <t>Possible recommendations:</t>
  </si>
  <si>
    <t>vCPU x vRAM</t>
  </si>
  <si>
    <t>Suggested Instance types:</t>
  </si>
  <si>
    <t>Calculated detail by database instance</t>
  </si>
  <si>
    <t>Elapsed Time (mins)</t>
  </si>
  <si>
    <t>DB Time (mins)</t>
  </si>
  <si>
    <t>Memory (GB)</t>
  </si>
  <si>
    <t>Aggregated calculations by host</t>
  </si>
  <si>
    <t>Aggregated calculations by database</t>
  </si>
  <si>
    <t>%DB Time of Elapsed Time</t>
  </si>
  <si>
    <t>CPUs</t>
  </si>
  <si>
    <t>Cores</t>
  </si>
  <si>
    <t>AWR detail collected by database instance</t>
  </si>
  <si>
    <t>%busy CPU</t>
  </si>
  <si>
    <t>SGA use (MB)</t>
  </si>
  <si>
    <t>PGA use (MB)</t>
  </si>
  <si>
    <t>Total ORA (GB)</t>
  </si>
  <si>
    <t>Azure Instance type</t>
  </si>
  <si>
    <t>Pay-as-you-go</t>
  </si>
  <si>
    <t>1-year</t>
  </si>
  <si>
    <t>3-year</t>
  </si>
  <si>
    <t>DB CPU (s)</t>
  </si>
  <si>
    <t>%DB CPU of server capacity</t>
  </si>
  <si>
    <t>Calculated vCPU x vRAM:</t>
  </si>
  <si>
    <t>CPU total capacity (s)</t>
  </si>
  <si>
    <t>ORA use (GB)</t>
  </si>
  <si>
    <t>source CPU HT factor</t>
  </si>
  <si>
    <t>vCPU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</si>
  <si>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</si>
  <si>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</si>
  <si>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</si>
  <si>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</si>
  <si>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</si>
  <si>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</si>
  <si>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</si>
  <si>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</si>
  <si>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</si>
  <si>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</si>
  <si>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Total vRAM (GiB) consumed only by Oracle</t>
  </si>
  <si>
    <t>Est'd Azure vRAM for server</t>
  </si>
  <si>
    <t>IO metrics (IOPS &amp; MB/s) fudge factor</t>
  </si>
  <si>
    <t>Monthly pricing</t>
  </si>
  <si>
    <t>%Busy CPU threshold</t>
  </si>
  <si>
    <t>%Busy CPU multiplier</t>
  </si>
  <si>
    <t xml:space="preserve"> </t>
  </si>
  <si>
    <t>* Does not include storage.  Size of database was not included with data provided.</t>
  </si>
  <si>
    <t>Recommended Disk Type</t>
  </si>
  <si>
    <t>** Does not include DR, HA, Monitoring or other services</t>
  </si>
  <si>
    <t xml:space="preserve"> This size has some overhead in it due to RAC background processes and processing.</t>
  </si>
  <si>
    <t>Premium SSD is sufficient and no concerns about throughput issues for VM from this Oracle database.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</si>
</sst>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-* #,##0_-;\-* #,##0_-;_-* &quot;-&quot;??_-;_-@_-"/>
    <numFmt numFmtId="166" formatCode="&quot;$&quot;#,##0.0000"/>
    <numFmt numFmtId="167" formatCode="&quot;$&quot;#,##0.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sz val="9"/>
      <color indexed="81"/>
      <name val="Tahoma"/>
      <charset val="1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</font>
    <font>
      <i/>
      <sz val="12"/>
      <color theme="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0" fontId="0" fillId="0" borderId="0" xfId="0" applyBorder="1"/>
    <xf numFmtId="0" fontId="7" fillId="2" borderId="0" xfId="0" applyFont="1" applyFill="1" applyAlignment="1">
      <alignment horizontal="left" vertical="top" wrapText="1"/>
    </xf>
    <xf numFmtId="164" fontId="6" fillId="0" borderId="0" xfId="0" applyNumberFormat="1" applyFont="1"/>
    <xf numFmtId="164" fontId="6" fillId="2" borderId="0" xfId="0" applyNumberFormat="1" applyFont="1" applyFill="1"/>
    <xf numFmtId="4" fontId="6" fillId="0" borderId="0" xfId="0" applyNumberFormat="1" applyFont="1"/>
    <xf numFmtId="4" fontId="6" fillId="2" borderId="0" xfId="0" applyNumberFormat="1" applyFont="1" applyFill="1"/>
    <xf numFmtId="3" fontId="6" fillId="2" borderId="0" xfId="0" applyNumberFormat="1" applyFont="1" applyFill="1"/>
    <xf numFmtId="3" fontId="6" fillId="0" borderId="0" xfId="0" applyNumberFormat="1" applyFont="1"/>
    <xf numFmtId="0" fontId="10" fillId="2" borderId="0" xfId="0" applyFont="1" applyFill="1" applyAlignment="1">
      <alignment horizontal="left" vertical="top" wrapText="1"/>
    </xf>
    <xf numFmtId="3" fontId="11" fillId="0" borderId="0" xfId="0" applyNumberFormat="1" applyFont="1"/>
    <xf numFmtId="3" fontId="11" fillId="2" borderId="0" xfId="0" applyNumberFormat="1" applyFont="1" applyFill="1"/>
    <xf numFmtId="0" fontId="8" fillId="0" borderId="0" xfId="0" applyFont="1"/>
    <xf numFmtId="0" fontId="12" fillId="0" borderId="0" xfId="0" applyFont="1"/>
    <xf numFmtId="4" fontId="8" fillId="0" borderId="0" xfId="0" applyNumberFormat="1" applyFont="1"/>
    <xf numFmtId="164" fontId="12" fillId="0" borderId="0" xfId="0" applyNumberFormat="1" applyFont="1"/>
    <xf numFmtId="0" fontId="8" fillId="0" borderId="0" xfId="0" applyFont="1" applyFill="1"/>
    <xf numFmtId="0" fontId="12" fillId="0" borderId="0" xfId="0" applyFont="1" applyFill="1"/>
    <xf numFmtId="0" fontId="12" fillId="0" borderId="0" xfId="0" applyFont="1" applyFill="1" applyAlignment="1">
      <alignment horizontal="right"/>
    </xf>
    <xf numFmtId="164" fontId="12" fillId="0" borderId="0" xfId="0" applyNumberFormat="1" applyFont="1" applyFill="1"/>
    <xf numFmtId="0" fontId="1" fillId="3" borderId="0" xfId="0" applyFont="1" applyFill="1" applyAlignment="1">
      <alignment shrinkToFit="1"/>
    </xf>
    <xf numFmtId="0" fontId="9" fillId="0" borderId="4" xfId="0" applyFont="1" applyBorder="1" applyAlignment="1">
      <alignment horizontal="right"/>
    </xf>
    <xf numFmtId="0" fontId="0" fillId="0" borderId="1" xfId="0" applyBorder="1"/>
    <xf numFmtId="0" fontId="1" fillId="2" borderId="5" xfId="0" applyFont="1" applyFill="1" applyBorder="1"/>
    <xf numFmtId="0" fontId="0" fillId="2" borderId="6" xfId="0" applyFill="1" applyBorder="1"/>
    <xf numFmtId="0" fontId="1" fillId="2" borderId="7" xfId="0" applyFont="1" applyFill="1" applyBorder="1" applyAlignment="1">
      <alignment horizontal="right"/>
    </xf>
    <xf numFmtId="4" fontId="6" fillId="0" borderId="0" xfId="0" applyNumberFormat="1" applyFont="1" applyFill="1"/>
    <xf numFmtId="3" fontId="6" fillId="0" borderId="0" xfId="0" applyNumberFormat="1" applyFont="1" applyFill="1"/>
    <xf numFmtId="164" fontId="6" fillId="0" borderId="0" xfId="0" applyNumberFormat="1" applyFont="1" applyFill="1"/>
    <xf numFmtId="165" fontId="6" fillId="0" borderId="0" xfId="0" applyNumberFormat="1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164" fontId="14" fillId="0" borderId="0" xfId="0" applyNumberFormat="1" applyFont="1" applyFill="1"/>
    <xf numFmtId="165" fontId="14" fillId="0" borderId="0" xfId="0" applyNumberFormat="1" applyFont="1" applyFill="1"/>
    <xf numFmtId="0" fontId="0" fillId="0" borderId="0" xfId="0" applyFill="1"/>
    <xf numFmtId="10" fontId="6" fillId="0" borderId="0" xfId="0" applyNumberFormat="1" applyFont="1" applyFill="1"/>
    <xf numFmtId="4" fontId="0" fillId="3" borderId="0" xfId="0" applyNumberFormat="1" applyFill="1" applyAlignment="1">
      <alignment shrinkToFit="1"/>
    </xf>
    <xf numFmtId="0" fontId="1" fillId="4" borderId="2" xfId="0" applyFont="1" applyFill="1" applyBorder="1"/>
    <xf numFmtId="0" fontId="0" fillId="4" borderId="3" xfId="0" applyFill="1" applyBorder="1"/>
    <xf numFmtId="0" fontId="9" fillId="0" borderId="0" xfId="0" applyFont="1" applyFill="1" applyBorder="1" applyAlignment="1">
      <alignment horizontal="right"/>
    </xf>
    <xf numFmtId="166" fontId="0" fillId="0" borderId="9" xfId="0" applyNumberFormat="1" applyBorder="1" applyAlignment="1">
      <alignment horizontal="right"/>
    </xf>
    <xf numFmtId="166" fontId="0" fillId="0" borderId="4" xfId="0" applyNumberFormat="1" applyFont="1" applyBorder="1"/>
    <xf numFmtId="0" fontId="1" fillId="2" borderId="10" xfId="0" applyFont="1" applyFill="1" applyBorder="1" applyAlignment="1">
      <alignment horizontal="right"/>
    </xf>
    <xf numFmtId="0" fontId="1" fillId="2" borderId="9" xfId="0" applyFont="1" applyFill="1" applyBorder="1" applyAlignment="1">
      <alignment horizontal="right"/>
    </xf>
    <xf numFmtId="0" fontId="1" fillId="2" borderId="11" xfId="0" applyFont="1" applyFill="1" applyBorder="1" applyAlignment="1">
      <alignment horizontal="right"/>
    </xf>
    <xf numFmtId="0" fontId="1" fillId="2" borderId="12" xfId="0" applyFont="1" applyFill="1" applyBorder="1" applyAlignment="1">
      <alignment horizontal="right"/>
    </xf>
    <xf numFmtId="1" fontId="15" fillId="0" borderId="0" xfId="0" applyNumberFormat="1" applyFont="1"/>
    <xf numFmtId="3" fontId="3" fillId="0" borderId="0" xfId="0" applyNumberFormat="1" applyFont="1" applyFill="1"/>
    <xf numFmtId="3" fontId="11" fillId="0" borderId="0" xfId="0" applyNumberFormat="1" applyFont="1" applyFill="1"/>
    <xf numFmtId="1" fontId="3" fillId="0" borderId="0" xfId="0" applyNumberFormat="1" applyFont="1" applyFill="1"/>
    <xf numFmtId="1" fontId="5" fillId="0" borderId="0" xfId="0" applyNumberFormat="1" applyFont="1" applyFill="1"/>
    <xf numFmtId="0" fontId="6" fillId="0" borderId="0" xfId="0" applyFont="1" applyFill="1"/>
    <xf numFmtId="0" fontId="8" fillId="5" borderId="5" xfId="0" applyFont="1" applyFill="1" applyBorder="1"/>
    <xf numFmtId="0" fontId="8" fillId="5" borderId="6" xfId="0" applyFont="1" applyFill="1" applyBorder="1"/>
    <xf numFmtId="0" fontId="12" fillId="5" borderId="8" xfId="0" applyFont="1" applyFill="1" applyBorder="1"/>
    <xf numFmtId="0" fontId="0" fillId="0" borderId="0" xfId="0" applyFont="1" applyAlignment="1">
      <alignment horizontal="right" wrapText="1"/>
    </xf>
    <xf numFmtId="4" fontId="0" fillId="0" borderId="0" xfId="0" applyNumberFormat="1" applyFont="1" applyAlignment="1">
      <alignment horizontal="right"/>
    </xf>
    <xf numFmtId="4" fontId="0" fillId="0" borderId="0" xfId="0" applyNumberFormat="1" applyFont="1" applyAlignment="1">
      <alignment horizontal="right" vertical="top"/>
    </xf>
    <xf numFmtId="3" fontId="0" fillId="0" borderId="0" xfId="0" applyNumberFormat="1" applyFont="1" applyAlignment="1">
      <alignment horizontal="right" vertical="top"/>
    </xf>
    <xf numFmtId="10" fontId="0" fillId="0" borderId="0" xfId="0" applyNumberFormat="1" applyFont="1" applyAlignment="1">
      <alignment horizontal="right" vertical="top"/>
    </xf>
    <xf numFmtId="0" fontId="0" fillId="0" borderId="0" xfId="0" applyNumberFormat="1" applyFont="1" applyAlignment="1">
      <alignment horizontal="left" vertical="top" wrapText="1"/>
    </xf>
    <xf numFmtId="3" fontId="15" fillId="0" borderId="0" xfId="0" applyNumberFormat="1" applyFont="1" applyAlignment="1">
      <alignment horizontal="right" vertical="top"/>
    </xf>
    <xf numFmtId="4" fontId="15" fillId="0" borderId="0" xfId="0" applyNumberFormat="1" applyFont="1" applyAlignment="1">
      <alignment horizontal="right"/>
    </xf>
    <xf numFmtId="4" fontId="15" fillId="0" borderId="0" xfId="0" applyNumberFormat="1" applyFont="1" applyAlignment="1">
      <alignment horizontal="right" vertical="top"/>
    </xf>
    <xf numFmtId="1" fontId="11" fillId="0" borderId="0" xfId="0" applyNumberFormat="1" applyFont="1"/>
    <xf numFmtId="10" fontId="14" fillId="0" borderId="0" xfId="0" applyNumberFormat="1" applyFont="1" applyFill="1"/>
    <xf numFmtId="0" fontId="1" fillId="0" borderId="0" xfId="0" applyFont="1" applyAlignment="1">
      <alignment horizontal="right" vertical="top" wrapText="1"/>
    </xf>
    <xf numFmtId="0" fontId="0" fillId="0" borderId="13" xfId="0" applyBorder="1"/>
    <xf numFmtId="0" fontId="0" fillId="0" borderId="14" xfId="0" applyBorder="1"/>
    <xf numFmtId="0" fontId="16" fillId="0" borderId="0" xfId="0" applyFont="1"/>
    <xf numFmtId="0" fontId="17" fillId="0" borderId="0" xfId="0" applyFont="1" applyAlignment="1">
      <alignment horizontal="left" vertical="top" wrapText="1"/>
    </xf>
    <xf numFmtId="0" fontId="18" fillId="0" borderId="0" xfId="0" applyFont="1"/>
    <xf numFmtId="0" fontId="19" fillId="2" borderId="0" xfId="0" applyFont="1" applyFill="1" applyAlignment="1">
      <alignment horizontal="left" vertical="top" wrapText="1"/>
    </xf>
    <xf numFmtId="4" fontId="11" fillId="0" borderId="0" xfId="0" applyNumberFormat="1" applyFont="1"/>
    <xf numFmtId="4" fontId="11" fillId="0" borderId="0" xfId="0" applyNumberFormat="1" applyFont="1" applyFill="1"/>
    <xf numFmtId="4" fontId="11" fillId="2" borderId="0" xfId="0" applyNumberFormat="1" applyFont="1" applyFill="1"/>
    <xf numFmtId="1" fontId="11" fillId="2" borderId="0" xfId="0" applyNumberFormat="1" applyFont="1" applyFill="1"/>
    <xf numFmtId="2" fontId="0" fillId="6" borderId="0" xfId="0" applyNumberFormat="1" applyFill="1"/>
    <xf numFmtId="0" fontId="19" fillId="2" borderId="0" xfId="0" applyFont="1" applyFill="1" applyAlignment="1">
      <alignment horizontal="right" vertical="top" wrapText="1"/>
    </xf>
    <xf numFmtId="164" fontId="15" fillId="0" borderId="0" xfId="0" applyNumberFormat="1" applyFont="1"/>
    <xf numFmtId="2" fontId="15" fillId="0" borderId="0" xfId="0" applyNumberFormat="1" applyFont="1"/>
    <xf numFmtId="164" fontId="15" fillId="2" borderId="0" xfId="0" applyNumberFormat="1" applyFont="1" applyFill="1"/>
    <xf numFmtId="2" fontId="15" fillId="2" borderId="0" xfId="0" applyNumberFormat="1" applyFont="1" applyFill="1"/>
    <xf numFmtId="4" fontId="15" fillId="0" borderId="0" xfId="0" applyNumberFormat="1" applyFont="1"/>
    <xf numFmtId="3" fontId="15" fillId="0" borderId="0" xfId="0" applyNumberFormat="1" applyFont="1"/>
    <xf numFmtId="4" fontId="15" fillId="0" borderId="0" xfId="0" applyNumberFormat="1" applyFont="1" applyFill="1"/>
    <xf numFmtId="164" fontId="15" fillId="0" borderId="0" xfId="0" applyNumberFormat="1" applyFont="1" applyFill="1"/>
    <xf numFmtId="3" fontId="15" fillId="0" borderId="0" xfId="0" applyNumberFormat="1" applyFont="1" applyFill="1"/>
    <xf numFmtId="4" fontId="15" fillId="2" borderId="0" xfId="0" applyNumberFormat="1" applyFont="1" applyFill="1"/>
    <xf numFmtId="10" fontId="15" fillId="2" borderId="0" xfId="0" applyNumberFormat="1" applyFont="1" applyFill="1"/>
    <xf numFmtId="3" fontId="15" fillId="2" borderId="0" xfId="0" applyNumberFormat="1" applyFont="1" applyFill="1"/>
    <xf numFmtId="1" fontId="15" fillId="0" borderId="0" xfId="0" applyNumberFormat="1" applyFont="1" applyFill="1"/>
    <xf numFmtId="1" fontId="15" fillId="2" borderId="0" xfId="0" applyNumberFormat="1" applyFont="1" applyFill="1"/>
    <xf numFmtId="0" fontId="20" fillId="0" borderId="0" xfId="0" applyNumberFormat="1" applyFont="1" applyAlignment="1">
      <alignment horizontal="left" vertical="top" wrapText="1"/>
    </xf>
    <xf numFmtId="0" fontId="21" fillId="0" borderId="0" xfId="0" applyFont="1"/>
    <xf numFmtId="4" fontId="21" fillId="0" borderId="0" xfId="0" applyNumberFormat="1" applyFont="1"/>
    <xf numFmtId="3" fontId="21" fillId="0" borderId="0" xfId="0" applyNumberFormat="1" applyFont="1"/>
    <xf numFmtId="0" fontId="10" fillId="0" borderId="0" xfId="0" applyFont="1"/>
    <xf numFmtId="0" fontId="22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0" fontId="22" fillId="0" borderId="0" xfId="0" applyNumberFormat="1" applyFont="1" applyAlignment="1">
      <alignment horizontal="right" vertical="top"/>
    </xf>
    <xf numFmtId="4" fontId="23" fillId="0" borderId="0" xfId="0" applyNumberFormat="1" applyFont="1" applyAlignment="1">
      <alignment horizontal="right"/>
    </xf>
    <xf numFmtId="3" fontId="23" fillId="0" borderId="0" xfId="0" applyNumberFormat="1" applyFont="1" applyAlignment="1">
      <alignment horizontal="right" vertical="top"/>
    </xf>
    <xf numFmtId="4" fontId="23" fillId="0" borderId="0" xfId="0" applyNumberFormat="1" applyFont="1" applyAlignment="1">
      <alignment horizontal="right" vertical="top"/>
    </xf>
    <xf numFmtId="0" fontId="22" fillId="0" borderId="0" xfId="0" applyFont="1" applyAlignment="1">
      <alignment horizontal="right" wrapText="1"/>
    </xf>
    <xf numFmtId="0" fontId="22" fillId="0" borderId="0" xfId="0" applyNumberFormat="1" applyFont="1"/>
    <xf numFmtId="4" fontId="22" fillId="0" borderId="0" xfId="0" applyNumberFormat="1" applyFont="1"/>
    <xf numFmtId="10" fontId="22" fillId="0" borderId="0" xfId="0" applyNumberFormat="1" applyFont="1"/>
    <xf numFmtId="3" fontId="22" fillId="0" borderId="0" xfId="0" applyNumberFormat="1" applyFont="1"/>
    <xf numFmtId="4" fontId="22" fillId="0" borderId="0" xfId="0" applyNumberFormat="1" applyFont="1" applyAlignment="1">
      <alignment horizontal="right"/>
    </xf>
    <xf numFmtId="0" fontId="22" fillId="0" borderId="0" xfId="0" applyFont="1"/>
    <xf numFmtId="167" fontId="0" fillId="0" borderId="4" xfId="0" applyNumberFormat="1" applyFont="1" applyBorder="1"/>
    <xf numFmtId="167" fontId="0" fillId="0" borderId="9" xfId="0" applyNumberFormat="1" applyBorder="1" applyAlignment="1">
      <alignment horizontal="right"/>
    </xf>
  </cellXfs>
  <cellStyles count="1">
    <cellStyle name="Normal" xfId="0" builtinId="0"/>
  </cellStyles>
  <dxfs count="87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i/>
        <color rgb="FF0070C0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numFmt numFmtId="14" formatCode="0.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4:V20" headerRowDxfId="86">
  <autoFilter ref="B4:V20" xr:uid="{BAFCDA4E-1455-4186-B446-55AD7B6FF08E}"/>
  <tableColumns count="21">
    <tableColumn id="1" xr3:uid="{12DBE624-1E4C-43DE-8EBA-89FC03FB8A2E}" name="DB Name" totalsRowLabel="Total" dataDxfId="85" totalsRowDxfId="84"/>
    <tableColumn id="2" xr3:uid="{12EF2CB8-2718-4987-B485-71AAC2C42177}" name="Instance Name" dataDxfId="83" totalsRowDxfId="82"/>
    <tableColumn id="3" xr3:uid="{EE4D87CE-B854-4D79-98B0-4B433DE0DFC5}" name="Host Name" dataDxfId="81" totalsRowDxfId="80"/>
    <tableColumn id="18" xr3:uid="{9652353C-76B4-424D-B14E-4474B1D2E864}" name="Elapsed Time (mins)" totalsRowFunction="custom" dataDxfId="79" totalsRowDxfId="78">
      <totalsRowFormula>SUM(E5:E20)</totalsRowFormula>
    </tableColumn>
    <tableColumn id="4" xr3:uid="{E245B233-16D0-4175-B2B6-7CC6C7D5EC1E}" name="DB Time (mins)" totalsRowFunction="sum" dataDxfId="77" totalsRowDxfId="76"/>
    <tableColumn id="5" xr3:uid="{18DE2E70-642F-48C7-8588-E203573FBC6C}" name="DB CPU (s)" totalsRowFunction="sum" dataDxfId="75" totalsRowDxfId="74"/>
    <tableColumn id="17" xr3:uid="{CB45C1E7-36C0-4529-BD9C-742C452F7BAB}" name="CPUs" totalsRowFunction="custom" dataDxfId="73" totalsRowDxfId="72">
      <totalsRowFormula>SUM(H5:H20)</totalsRowFormula>
    </tableColumn>
    <tableColumn id="16" xr3:uid="{8DEF82EF-8D6D-43C8-9A6E-479EF081F1C5}" name="Cores" totalsRowFunction="custom" dataDxfId="71" totalsRowDxfId="70">
      <totalsRowFormula>SUM(I5:I20)</totalsRowFormula>
    </tableColumn>
    <tableColumn id="19" xr3:uid="{6CC3E0A3-0D85-416B-B5E5-E013322B324E}" name="Memory (GB)" totalsRowFunction="custom" dataDxfId="69" totalsRowDxfId="68">
      <totalsRowFormula>SUM(J5:J20)</totalsRowFormula>
    </tableColumn>
    <tableColumn id="20" xr3:uid="{801E69F7-F685-4E5B-89E7-B8236A24C142}" name="%busy CPU" totalsRowFunction="custom" dataDxfId="67" totalsRowDxfId="66">
      <totalsRowFormula>SUM(K5:K20)</totalsRowFormula>
    </tableColumn>
    <tableColumn id="8" xr3:uid="{D9D9DE5D-BFAF-4BB6-9C57-68AD5D802EE2}" name="SGA use (MB)" totalsRowFunction="sum" dataDxfId="65" totalsRowDxfId="64"/>
    <tableColumn id="9" xr3:uid="{12911006-64ED-4042-B1A5-C18EC5E137FE}" name="PGA use (MB)" totalsRowFunction="sum" dataDxfId="63" totalsRowDxfId="62"/>
    <tableColumn id="6" xr3:uid="{D6E85EB5-7EE1-48F6-A66E-B76E4EECD483}" name="Read Throughput (MB/s)" dataDxfId="61" totalsRowDxfId="60"/>
    <tableColumn id="7" xr3:uid="{F3F3AB13-35F9-4DE8-BCED-CC8576E3F23E}" name="Write Throughput (MB/s)" dataDxfId="59" totalsRowDxfId="58"/>
    <tableColumn id="10" xr3:uid="{BE4DE103-F7E4-4B9E-A27F-11EFFA4A99BF}" name="Read IOPS" totalsRowFunction="sum" dataDxfId="57" totalsRowDxfId="56"/>
    <tableColumn id="11" xr3:uid="{A52E7F8E-4721-4010-BECE-F070E24DDA1F}" name="Write IOPS" totalsRowFunction="sum" dataDxfId="55" totalsRowDxfId="54"/>
    <tableColumn id="15" xr3:uid="{F0C74357-6F45-494C-B3DC-D3215156DFFB}" name="Total Throughput (MB/s)" dataDxfId="53" totalsRowDxfId="52">
      <calculatedColumnFormula>N5+O5</calculatedColumnFormula>
    </tableColumn>
    <tableColumn id="12" xr3:uid="{A0F8EBD1-73A3-4ABE-B0BE-D33E8C7ADD32}" name="Total IOPS" totalsRowFunction="sum" dataDxfId="51" totalsRowDxfId="50">
      <calculatedColumnFormula>(P5+Q5)</calculatedColumnFormula>
    </tableColumn>
    <tableColumn id="13" xr3:uid="{3F2ED276-F76A-423E-8069-892C6C886ED0}" name="CPU total capacity (s)" totalsRowFunction="custom" dataDxfId="49">
      <calculatedColumnFormula>(E5*60)*H5</calculatedColumnFormula>
      <totalsRowFormula>SUM(T5:T20)</totalsRowFormula>
    </tableColumn>
    <tableColumn id="14" xr3:uid="{6D50E1DB-D2A8-4634-9623-2B8FF9FB8B97}" name="ORA use (GB)" totalsRowFunction="custom" dataDxfId="48">
      <calculatedColumnFormula>(L5+M5)/1024</calculatedColumnFormula>
      <totalsRowFormula>SUBTOTAL(109,#REF!)</totalsRowFormula>
    </tableColumn>
    <tableColumn id="21" xr3:uid="{06271738-5AFB-4416-88EC-0F36A42588B4}" name="source CPU HT factor" dataDxfId="47">
      <calculatedColumnFormula>AWRData[[#This Row],[CPUs]]/AWRData[[#This Row],[Cores]]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14:I20" totalsRowCount="1" headerRowDxfId="46" dataDxfId="45">
  <autoFilter ref="B14:I19" xr:uid="{2131DD88-95A4-4546-AD92-E31ADE17AE10}"/>
  <tableColumns count="8">
    <tableColumn id="1" xr3:uid="{E48AF7E1-022E-4559-9DF8-AA91B706DE37}" name="Host" totalsRowLabel="Total"/>
    <tableColumn id="6" xr3:uid="{E7152265-984C-41C1-985E-AC0ACC8400BD}" name="Name"/>
    <tableColumn id="3" xr3:uid="{042A02F8-3035-4F96-B880-FF705D8AF8AD}" name="%DB Time of Elapsed Time" totalsRowFunction="sum" dataDxfId="44" totalsRowDxfId="43">
      <calculatedColumnFormula>IF(HostSummary[[#This Row],[Host]]="","",SUMIFS(AWRData[DB Time (mins)],AWRData[Host Name],HostSummary[[#This Row],[Host]])/SUMIFS(AWRData[Elapsed Time (mins)],AWRData[Host Name],HostSummary[[#This Row],[Host]]))</calculatedColumnFormula>
    </tableColumn>
    <tableColumn id="5" xr3:uid="{8C4031DA-672D-442C-BFF1-F158C86225A2}" name="%DB CPU of server capacity" dataDxfId="42" totalsRowDxfId="41">
      <calculatedColumnFormula>IF(HostSummary[[#This Row],[Host]]="","",SUMIFS(AWRData[DB CPU (s)],AWRData[Host Name],HostSummary[[#This Row],[Host]])/SUMIFS(AWRData[CPU total capacity (s)],AWRData[Host Name],HostSummary[[#This Row],[Host]]))</calculatedColumnFormula>
    </tableColumn>
    <tableColumn id="10" xr3:uid="{85E8367C-F408-44E2-8D1A-47BCF5A88ABE}" name="Total ORA (GB)" totalsRowFunction="sum" dataDxfId="40" totalsRowDxfId="39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Total IOPS" totalsRowFunction="sum" dataDxfId="38" totalsRowDxfId="37">
      <calculatedColumnFormula>IF(HostSummary[[#This Row],[Host]]="","",SUMIFS(AWRData[Total IOPS],AWRData[Host Name],HostSummary[[#This Row],[Host]]))</calculatedColumnFormula>
    </tableColumn>
    <tableColumn id="4" xr3:uid="{D2224B36-6E90-4845-81DA-1DB10E1661B4}" name="Total Throughput (MB/s)" totalsRowFunction="sum" dataDxfId="36" totalsRowDxfId="35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34" totalsRowDxfId="33">
      <calculatedColumnFormula>IF(HostSummary[[#This Row],[Host]]="","",HostSummary[[#This Row],[%DB Time of Elapsed Time]]*(vCPUHTFactor/SUMIFS(AWRData[source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23:K29" totalsRowCount="1" headerRowDxfId="32" dataDxfId="31">
  <autoFilter ref="B23:K28" xr:uid="{49AD5955-00E8-4584-8ED2-B99212AE569A}"/>
  <tableColumns count="10">
    <tableColumn id="1" xr3:uid="{F79507E8-49B9-479A-B974-70532B5FC009}" name="DB Name" totalsRowLabel="Total"/>
    <tableColumn id="3" xr3:uid="{D14FF7E7-B38D-4451-8EE3-64724E717E5F}" name="%DB Time of Elapsed Time" totalsRowFunction="sum" dataDxfId="30" totalsRowDxfId="29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Total vRAM (GiB) consumed only by Oracle" totalsRowFunction="sum" dataDxfId="28" totalsRowDxfId="27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26" totalsRowDxfId="25">
      <calculatedColumnFormula>IF(DBSummary[[#This Row],[DB Name]]="","",PeakRAMfactor*DBSummary[[#This Row],[Total vRAM (GiB) consumed only by Oracle]])</calculatedColumnFormula>
    </tableColumn>
    <tableColumn id="11" xr3:uid="{AB2CFCBB-C7A4-4993-BFD0-A84164ED0160}" name="Total IOPS" totalsRowFunction="sum" dataDxfId="24" totalsRowDxfId="23">
      <calculatedColumnFormula>IF(DBSummary[[#This Row],[DB Name]]="","",SUMIFS(AWRData[Total IOPS],AWRData[DB Name],DBSummary[[#This Row],[DB Name]]))</calculatedColumnFormula>
    </tableColumn>
    <tableColumn id="5" xr3:uid="{28273868-E127-405F-B656-70C478E70B07}" name="Total Throughput (MB/s)" totalsRowFunction="sum" dataDxfId="22" totalsRowDxfId="21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20" totalsRowDxfId="19">
      <calculatedColumnFormula>IF(DBSummary[[#This Row],[DB Name]]="","",DBSummary[[#This Row],[Total IOPS]]*IoMetricsFactor)</calculatedColumnFormula>
    </tableColumn>
    <tableColumn id="8" xr3:uid="{C38DB1AD-B018-489B-B3E6-31BE998C2B17}" name="Est'd Azure Throughput (MB/s) for peak load" totalsRowFunction="sum" dataDxfId="18" totalsRowDxfId="17">
      <calculatedColumnFormula>IF(DBSummary[[#This Row],[DB Name]]="","",DBSummary[[#This Row],[Total Throughput (MB/s)]]*IoMetricsFactor)</calculatedColumnFormula>
    </tableColumn>
    <tableColumn id="6" xr3:uid="{AAFEF038-B223-49E2-B515-EC61D231972F}" name="Est'd Azure vCPUs for avg load" totalsRowFunction="sum" dataDxfId="16" totalsRowDxfId="15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14" totalsRowDxfId="13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5:I11" totalsRowCount="1" headerRowDxfId="12">
  <autoFilter ref="B5:I10" xr:uid="{DDC9EB0F-FC45-450E-9D91-FB84A3B2BFF9}"/>
  <tableColumns count="8">
    <tableColumn id="19" xr3:uid="{9D996974-BBE3-4BD2-A49E-7636AF84D9BD}" name="DB Name"/>
    <tableColumn id="2" xr3:uid="{1EB02893-C83E-48B5-937F-61E7D4A0C092}" name="Instance Name"/>
    <tableColumn id="5" xr3:uid="{FFDD672E-0E4E-4ADB-9E76-1EB11CF3E627}" name="%DB Time of Elapsed Time" totalsRowFunction="sum" dataDxfId="11" totalsRowDxfId="10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4" xr3:uid="{44D15276-6274-49BC-8904-ADCB3DC7D1D0}" name="%DB CPU of server capacity" totalsRowFunction="sum" dataDxfId="9" totalsRowDxfId="8">
      <calculatedColumnFormula>IF(InstSummary[[#This Row],[Instance Name]]="","",SUMIFS(AWRData[DB CPU (s)],AWRData[Instance Name],InstSummary[[#This Row],[Instance Name]])/SUMIFS(AWRData[CPU total capacity (s)],AWRData[Instance Name],InstSummary[[#This Row],[Instance Name]]))</calculatedColumnFormula>
    </tableColumn>
    <tableColumn id="14" xr3:uid="{EE92F036-09CB-4182-9F1C-C53D87FDFEA7}" name="Total ORA (GB)" totalsRowFunction="sum" dataDxfId="7" totalsRowDxfId="6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Total IOPS" totalsRowFunction="sum" dataDxfId="5" totalsRowDxfId="4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Total Throughput (MB/s)" totalsRowFunction="sum" dataDxfId="3" totalsRowDxfId="2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1" totalsRowDxfId="0">
      <calculatedColumnFormula>IF(InstSummary[[#This Row],[Instance Name]]="","",InstSummary[[#This Row],[%DB Time of Elapsed Time]]*(vCPUHTFactor/SUMIFS(AWRData[source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V27"/>
  <sheetViews>
    <sheetView topLeftCell="A3" zoomScale="85" zoomScaleNormal="85" workbookViewId="0">
      <selection activeCell="L24" sqref="L24"/>
    </sheetView>
  </sheetViews>
  <sheetFormatPr defaultRowHeight="14.6" x14ac:dyDescent="0.4"/>
  <cols>
    <col min="1" max="1" width="4.15234375" customWidth="1"/>
    <col min="2" max="2" width="10.61328125" customWidth="1"/>
    <col min="3" max="3" width="15.3828125" customWidth="1"/>
    <col min="4" max="4" width="29.61328125" customWidth="1"/>
    <col min="5" max="5" width="14.61328125" customWidth="1"/>
    <col min="6" max="6" width="12.61328125" style="3" customWidth="1"/>
    <col min="7" max="7" width="14.3828125" customWidth="1"/>
    <col min="8" max="8" width="12.61328125" style="3" customWidth="1"/>
    <col min="9" max="17" width="12.61328125" customWidth="1"/>
    <col min="18" max="18" width="12.61328125" style="75" hidden="1" customWidth="1"/>
    <col min="19" max="19" width="12.61328125" hidden="1" customWidth="1"/>
    <col min="20" max="20" width="13.84375" hidden="1" customWidth="1"/>
    <col min="21" max="21" width="10.3828125" hidden="1" customWidth="1"/>
    <col min="22" max="22" width="11.15234375" hidden="1" customWidth="1"/>
    <col min="23" max="23" width="12.61328125" customWidth="1"/>
  </cols>
  <sheetData>
    <row r="1" spans="2:22" s="16" customFormat="1" ht="18.45" x14ac:dyDescent="0.5">
      <c r="B1" s="16" t="s">
        <v>40</v>
      </c>
      <c r="F1" s="17"/>
      <c r="H1" s="17"/>
      <c r="R1" s="73"/>
    </row>
    <row r="3" spans="2:22" s="16" customFormat="1" ht="18.45" x14ac:dyDescent="0.5">
      <c r="B3" s="16" t="s">
        <v>24</v>
      </c>
      <c r="F3" s="17"/>
      <c r="H3" s="17"/>
      <c r="R3" s="73"/>
    </row>
    <row r="4" spans="2:22" s="2" customFormat="1" ht="43.75" x14ac:dyDescent="0.4">
      <c r="B4" s="4" t="s">
        <v>0</v>
      </c>
      <c r="C4" s="4" t="s">
        <v>1</v>
      </c>
      <c r="D4" s="4" t="s">
        <v>2</v>
      </c>
      <c r="E4" s="4" t="s">
        <v>16</v>
      </c>
      <c r="F4" s="4" t="s">
        <v>17</v>
      </c>
      <c r="G4" s="4" t="s">
        <v>33</v>
      </c>
      <c r="H4" s="4" t="s">
        <v>22</v>
      </c>
      <c r="I4" s="4" t="s">
        <v>23</v>
      </c>
      <c r="J4" s="4" t="s">
        <v>18</v>
      </c>
      <c r="K4" s="4" t="s">
        <v>25</v>
      </c>
      <c r="L4" s="4" t="s">
        <v>26</v>
      </c>
      <c r="M4" s="4" t="s">
        <v>27</v>
      </c>
      <c r="N4" s="4" t="s">
        <v>45</v>
      </c>
      <c r="O4" s="4" t="s">
        <v>46</v>
      </c>
      <c r="P4" s="4" t="s">
        <v>3</v>
      </c>
      <c r="Q4" s="4" t="s">
        <v>4</v>
      </c>
      <c r="R4" s="74" t="s">
        <v>47</v>
      </c>
      <c r="S4" s="4" t="s">
        <v>5</v>
      </c>
      <c r="T4" s="4" t="s">
        <v>36</v>
      </c>
      <c r="U4" s="4" t="s">
        <v>37</v>
      </c>
      <c r="V4" s="4" t="s">
        <v>38</v>
      </c>
    </row>
    <row r="5" spans="2:22" s="115" customFormat="1" ht="15" x14ac:dyDescent="0.35">
      <c r="B5" s="110"/>
      <c r="C5" s="110"/>
      <c r="D5" s="110"/>
      <c r="E5" s="99"/>
      <c r="F5" s="111"/>
      <c r="G5" s="99"/>
      <c r="H5" s="103"/>
      <c r="I5" s="103"/>
      <c r="J5" s="104"/>
      <c r="K5" s="112"/>
      <c r="L5" s="100"/>
      <c r="M5" s="113"/>
      <c r="N5" s="111"/>
      <c r="O5" s="111"/>
      <c r="P5" s="111"/>
      <c r="Q5" s="114"/>
      <c r="R5" s="106">
        <f t="shared" ref="R5:R20" si="0">N5+O5</f>
        <v>0</v>
      </c>
      <c r="S5" s="106">
        <f t="shared" ref="S5:S20" si="1">(P5+Q5)</f>
        <v>0</v>
      </c>
      <c r="T5" s="107">
        <f t="shared" ref="T5:T20" si="2">(E5*60)*H5</f>
        <v>0</v>
      </c>
      <c r="U5" s="107">
        <f t="shared" ref="U5:U20" si="3">(L5+M5)/1024</f>
        <v>0</v>
      </c>
      <c r="V5" s="108" t="e">
        <f>AWRData[[#This Row],[CPUs]]/AWRData[[#This Row],[Cores]]</f>
        <v>#DIV/0!</v>
      </c>
    </row>
    <row r="6" spans="2:22" s="109" customFormat="1" ht="15" x14ac:dyDescent="0.35">
      <c r="B6" s="110"/>
      <c r="C6" s="102"/>
      <c r="D6" s="98"/>
      <c r="E6" s="99"/>
      <c r="F6" s="104"/>
      <c r="G6" s="99"/>
      <c r="H6" s="103"/>
      <c r="I6" s="103"/>
      <c r="J6" s="104"/>
      <c r="K6" s="105"/>
      <c r="L6" s="100"/>
      <c r="M6" s="103"/>
      <c r="N6" s="104"/>
      <c r="O6" s="104"/>
      <c r="P6" s="104"/>
      <c r="Q6" s="114"/>
      <c r="R6" s="106">
        <f t="shared" si="0"/>
        <v>0</v>
      </c>
      <c r="S6" s="106">
        <f t="shared" si="1"/>
        <v>0</v>
      </c>
      <c r="T6" s="107">
        <f t="shared" si="2"/>
        <v>0</v>
      </c>
      <c r="U6" s="107">
        <f t="shared" si="3"/>
        <v>0</v>
      </c>
      <c r="V6" s="108" t="e">
        <f>AWRData[[#This Row],[CPUs]]/AWRData[[#This Row],[Cores]]</f>
        <v>#DIV/0!</v>
      </c>
    </row>
    <row r="7" spans="2:22" s="109" customFormat="1" ht="15" x14ac:dyDescent="0.35">
      <c r="B7" s="110"/>
      <c r="C7" s="102"/>
      <c r="D7" s="98"/>
      <c r="E7" s="99"/>
      <c r="F7" s="104"/>
      <c r="G7" s="103"/>
      <c r="H7" s="103"/>
      <c r="I7" s="103"/>
      <c r="J7" s="104"/>
      <c r="K7" s="105"/>
      <c r="L7" s="100"/>
      <c r="M7" s="103"/>
      <c r="N7" s="104"/>
      <c r="O7" s="104"/>
      <c r="P7" s="104"/>
      <c r="Q7" s="114"/>
      <c r="R7" s="106">
        <f t="shared" si="0"/>
        <v>0</v>
      </c>
      <c r="S7" s="106">
        <f t="shared" si="1"/>
        <v>0</v>
      </c>
      <c r="T7" s="107">
        <f t="shared" si="2"/>
        <v>0</v>
      </c>
      <c r="U7" s="107">
        <f t="shared" si="3"/>
        <v>0</v>
      </c>
      <c r="V7" s="108" t="e">
        <f>AWRData[[#This Row],[CPUs]]/AWRData[[#This Row],[Cores]]</f>
        <v>#DIV/0!</v>
      </c>
    </row>
    <row r="8" spans="2:22" s="59" customFormat="1" ht="15.45" x14ac:dyDescent="0.4">
      <c r="B8" s="102"/>
      <c r="C8" s="102"/>
      <c r="D8" s="98"/>
      <c r="E8" s="99"/>
      <c r="F8" s="99"/>
      <c r="G8" s="99"/>
      <c r="H8" s="103"/>
      <c r="I8" s="103"/>
      <c r="J8" s="104"/>
      <c r="K8" s="105"/>
      <c r="L8" s="100"/>
      <c r="M8" s="103"/>
      <c r="N8" s="98"/>
      <c r="O8" s="98"/>
      <c r="P8" s="98"/>
      <c r="Q8" s="98"/>
      <c r="R8" s="66">
        <f t="shared" si="0"/>
        <v>0</v>
      </c>
      <c r="S8" s="66">
        <f t="shared" si="1"/>
        <v>0</v>
      </c>
      <c r="T8" s="65">
        <f t="shared" si="2"/>
        <v>0</v>
      </c>
      <c r="U8" s="65">
        <f t="shared" si="3"/>
        <v>0</v>
      </c>
      <c r="V8" s="67" t="e">
        <f>AWRData[[#This Row],[CPUs]]/AWRData[[#This Row],[Cores]]</f>
        <v>#DIV/0!</v>
      </c>
    </row>
    <row r="9" spans="2:22" s="59" customFormat="1" x14ac:dyDescent="0.4">
      <c r="B9" s="64"/>
      <c r="C9" s="64"/>
      <c r="D9" s="64"/>
      <c r="E9" s="61"/>
      <c r="F9" s="61"/>
      <c r="G9" s="62"/>
      <c r="H9" s="62"/>
      <c r="I9" s="62"/>
      <c r="J9" s="61"/>
      <c r="K9" s="63"/>
      <c r="L9" s="62"/>
      <c r="M9" s="62"/>
      <c r="N9" s="61"/>
      <c r="O9" s="61"/>
      <c r="P9" s="61"/>
      <c r="Q9" s="60"/>
      <c r="R9" s="66">
        <f t="shared" si="0"/>
        <v>0</v>
      </c>
      <c r="S9" s="66">
        <f t="shared" si="1"/>
        <v>0</v>
      </c>
      <c r="T9" s="65">
        <f t="shared" si="2"/>
        <v>0</v>
      </c>
      <c r="U9" s="65">
        <f t="shared" si="3"/>
        <v>0</v>
      </c>
      <c r="V9" s="67" t="e">
        <f>AWRData[[#This Row],[CPUs]]/AWRData[[#This Row],[Cores]]</f>
        <v>#DIV/0!</v>
      </c>
    </row>
    <row r="10" spans="2:22" s="59" customFormat="1" x14ac:dyDescent="0.4">
      <c r="B10" s="64"/>
      <c r="C10" s="64"/>
      <c r="D10" s="64"/>
      <c r="E10" s="61"/>
      <c r="F10" s="61"/>
      <c r="G10" s="62"/>
      <c r="H10" s="62"/>
      <c r="I10" s="62"/>
      <c r="J10" s="61"/>
      <c r="K10" s="63"/>
      <c r="L10" s="62"/>
      <c r="M10" s="62"/>
      <c r="N10" s="61"/>
      <c r="O10" s="61"/>
      <c r="P10" s="61"/>
      <c r="Q10" s="60"/>
      <c r="R10" s="66">
        <f t="shared" si="0"/>
        <v>0</v>
      </c>
      <c r="S10" s="66">
        <f t="shared" si="1"/>
        <v>0</v>
      </c>
      <c r="T10" s="65">
        <f t="shared" si="2"/>
        <v>0</v>
      </c>
      <c r="U10" s="65">
        <f t="shared" si="3"/>
        <v>0</v>
      </c>
      <c r="V10" s="67" t="e">
        <f>AWRData[[#This Row],[CPUs]]/AWRData[[#This Row],[Cores]]</f>
        <v>#DIV/0!</v>
      </c>
    </row>
    <row r="11" spans="2:22" s="59" customFormat="1" x14ac:dyDescent="0.4">
      <c r="B11" s="64"/>
      <c r="C11" s="64"/>
      <c r="D11" s="64"/>
      <c r="E11" s="61"/>
      <c r="F11" s="61"/>
      <c r="G11" s="62"/>
      <c r="H11" s="62"/>
      <c r="I11" s="62"/>
      <c r="J11" s="61"/>
      <c r="K11" s="63"/>
      <c r="L11" s="62"/>
      <c r="M11" s="62"/>
      <c r="N11" s="61"/>
      <c r="O11" s="61"/>
      <c r="P11" s="61"/>
      <c r="Q11" s="60"/>
      <c r="R11" s="66">
        <f t="shared" si="0"/>
        <v>0</v>
      </c>
      <c r="S11" s="66">
        <f t="shared" si="1"/>
        <v>0</v>
      </c>
      <c r="T11" s="65">
        <f t="shared" si="2"/>
        <v>0</v>
      </c>
      <c r="U11" s="65">
        <f t="shared" si="3"/>
        <v>0</v>
      </c>
      <c r="V11" s="67" t="e">
        <f>AWRData[[#This Row],[CPUs]]/AWRData[[#This Row],[Cores]]</f>
        <v>#DIV/0!</v>
      </c>
    </row>
    <row r="12" spans="2:22" s="59" customFormat="1" x14ac:dyDescent="0.4">
      <c r="B12" s="64"/>
      <c r="C12" s="64"/>
      <c r="D12" s="64"/>
      <c r="E12" s="61"/>
      <c r="F12" s="61"/>
      <c r="G12" s="62"/>
      <c r="H12" s="62"/>
      <c r="I12" s="62"/>
      <c r="J12" s="61"/>
      <c r="K12" s="63"/>
      <c r="L12" s="62"/>
      <c r="M12" s="62"/>
      <c r="N12" s="61"/>
      <c r="O12" s="61"/>
      <c r="P12" s="61"/>
      <c r="Q12" s="60"/>
      <c r="R12" s="66">
        <f t="shared" si="0"/>
        <v>0</v>
      </c>
      <c r="S12" s="66">
        <f t="shared" si="1"/>
        <v>0</v>
      </c>
      <c r="T12" s="65">
        <f t="shared" si="2"/>
        <v>0</v>
      </c>
      <c r="U12" s="65">
        <f t="shared" si="3"/>
        <v>0</v>
      </c>
      <c r="V12" s="67" t="e">
        <f>AWRData[[#This Row],[CPUs]]/AWRData[[#This Row],[Cores]]</f>
        <v>#DIV/0!</v>
      </c>
    </row>
    <row r="13" spans="2:22" s="59" customFormat="1" x14ac:dyDescent="0.4">
      <c r="B13" s="64"/>
      <c r="C13" s="64"/>
      <c r="D13" s="64"/>
      <c r="E13" s="61"/>
      <c r="F13" s="61"/>
      <c r="G13" s="62"/>
      <c r="H13" s="62"/>
      <c r="I13" s="62"/>
      <c r="J13" s="61"/>
      <c r="K13" s="63"/>
      <c r="L13" s="62"/>
      <c r="M13" s="62"/>
      <c r="N13" s="61"/>
      <c r="O13" s="61"/>
      <c r="P13" s="61"/>
      <c r="Q13" s="60"/>
      <c r="R13" s="66">
        <f t="shared" si="0"/>
        <v>0</v>
      </c>
      <c r="S13" s="66">
        <f t="shared" si="1"/>
        <v>0</v>
      </c>
      <c r="T13" s="65">
        <f t="shared" si="2"/>
        <v>0</v>
      </c>
      <c r="U13" s="65">
        <f t="shared" si="3"/>
        <v>0</v>
      </c>
      <c r="V13" s="67" t="e">
        <f>AWRData[[#This Row],[CPUs]]/AWRData[[#This Row],[Cores]]</f>
        <v>#DIV/0!</v>
      </c>
    </row>
    <row r="14" spans="2:22" s="59" customFormat="1" x14ac:dyDescent="0.4">
      <c r="B14" s="64"/>
      <c r="C14" s="64"/>
      <c r="D14" s="64"/>
      <c r="E14" s="61"/>
      <c r="F14" s="61"/>
      <c r="G14" s="62"/>
      <c r="H14" s="62"/>
      <c r="I14" s="62"/>
      <c r="J14" s="61"/>
      <c r="K14" s="63"/>
      <c r="L14" s="62"/>
      <c r="M14" s="62"/>
      <c r="N14" s="61"/>
      <c r="O14" s="61"/>
      <c r="P14" s="61"/>
      <c r="Q14" s="60"/>
      <c r="R14" s="66">
        <f t="shared" si="0"/>
        <v>0</v>
      </c>
      <c r="S14" s="66">
        <f t="shared" si="1"/>
        <v>0</v>
      </c>
      <c r="T14" s="65">
        <f t="shared" si="2"/>
        <v>0</v>
      </c>
      <c r="U14" s="65">
        <f t="shared" si="3"/>
        <v>0</v>
      </c>
      <c r="V14" s="67" t="e">
        <f>AWRData[[#This Row],[CPUs]]/AWRData[[#This Row],[Cores]]</f>
        <v>#DIV/0!</v>
      </c>
    </row>
    <row r="15" spans="2:22" s="59" customFormat="1" x14ac:dyDescent="0.4">
      <c r="B15" s="64"/>
      <c r="C15" s="64"/>
      <c r="D15" s="64"/>
      <c r="E15" s="61"/>
      <c r="F15" s="61"/>
      <c r="G15" s="62"/>
      <c r="H15" s="62"/>
      <c r="I15" s="62"/>
      <c r="J15" s="61"/>
      <c r="K15" s="63"/>
      <c r="L15" s="62"/>
      <c r="M15" s="62"/>
      <c r="N15" s="61"/>
      <c r="O15" s="61"/>
      <c r="P15" s="61"/>
      <c r="Q15" s="60"/>
      <c r="R15" s="66">
        <f t="shared" si="0"/>
        <v>0</v>
      </c>
      <c r="S15" s="66">
        <f t="shared" si="1"/>
        <v>0</v>
      </c>
      <c r="T15" s="65">
        <f t="shared" si="2"/>
        <v>0</v>
      </c>
      <c r="U15" s="65">
        <f t="shared" si="3"/>
        <v>0</v>
      </c>
      <c r="V15" s="67" t="e">
        <f>AWRData[[#This Row],[CPUs]]/AWRData[[#This Row],[Cores]]</f>
        <v>#DIV/0!</v>
      </c>
    </row>
    <row r="16" spans="2:22" s="59" customFormat="1" x14ac:dyDescent="0.4">
      <c r="B16" s="64"/>
      <c r="C16" s="64"/>
      <c r="D16" s="64"/>
      <c r="E16" s="61"/>
      <c r="F16" s="61"/>
      <c r="G16" s="62"/>
      <c r="H16" s="62"/>
      <c r="I16" s="62"/>
      <c r="J16" s="61"/>
      <c r="K16" s="63"/>
      <c r="L16" s="62"/>
      <c r="M16" s="62"/>
      <c r="N16" s="61"/>
      <c r="O16" s="61"/>
      <c r="P16" s="61"/>
      <c r="Q16" s="60"/>
      <c r="R16" s="66">
        <f t="shared" si="0"/>
        <v>0</v>
      </c>
      <c r="S16" s="66">
        <f t="shared" si="1"/>
        <v>0</v>
      </c>
      <c r="T16" s="65">
        <f t="shared" si="2"/>
        <v>0</v>
      </c>
      <c r="U16" s="65">
        <f t="shared" si="3"/>
        <v>0</v>
      </c>
      <c r="V16" s="67" t="e">
        <f>AWRData[[#This Row],[CPUs]]/AWRData[[#This Row],[Cores]]</f>
        <v>#DIV/0!</v>
      </c>
    </row>
    <row r="17" spans="2:22" s="59" customFormat="1" x14ac:dyDescent="0.4">
      <c r="B17" s="64"/>
      <c r="C17" s="64"/>
      <c r="D17" s="64"/>
      <c r="E17" s="61"/>
      <c r="F17" s="61"/>
      <c r="G17" s="62"/>
      <c r="H17" s="62"/>
      <c r="I17" s="62"/>
      <c r="J17" s="61"/>
      <c r="K17" s="63"/>
      <c r="L17" s="62"/>
      <c r="M17" s="62"/>
      <c r="N17" s="61"/>
      <c r="O17" s="61"/>
      <c r="P17" s="61"/>
      <c r="Q17" s="60"/>
      <c r="R17" s="66">
        <f t="shared" si="0"/>
        <v>0</v>
      </c>
      <c r="S17" s="66">
        <f t="shared" si="1"/>
        <v>0</v>
      </c>
      <c r="T17" s="65">
        <f t="shared" si="2"/>
        <v>0</v>
      </c>
      <c r="U17" s="65">
        <f t="shared" si="3"/>
        <v>0</v>
      </c>
      <c r="V17" s="67" t="e">
        <f>AWRData[[#This Row],[CPUs]]/AWRData[[#This Row],[Cores]]</f>
        <v>#DIV/0!</v>
      </c>
    </row>
    <row r="18" spans="2:22" s="59" customFormat="1" x14ac:dyDescent="0.4">
      <c r="B18" s="64"/>
      <c r="C18" s="64"/>
      <c r="D18" s="64"/>
      <c r="E18" s="61"/>
      <c r="F18" s="61"/>
      <c r="G18" s="62"/>
      <c r="H18" s="62"/>
      <c r="I18" s="62"/>
      <c r="J18" s="61"/>
      <c r="K18" s="63"/>
      <c r="L18" s="62"/>
      <c r="M18" s="62"/>
      <c r="N18" s="61"/>
      <c r="O18" s="61"/>
      <c r="P18" s="61"/>
      <c r="Q18" s="60"/>
      <c r="R18" s="66">
        <f t="shared" si="0"/>
        <v>0</v>
      </c>
      <c r="S18" s="66">
        <f t="shared" si="1"/>
        <v>0</v>
      </c>
      <c r="T18" s="65">
        <f t="shared" si="2"/>
        <v>0</v>
      </c>
      <c r="U18" s="65">
        <f t="shared" si="3"/>
        <v>0</v>
      </c>
      <c r="V18" s="67" t="e">
        <f>AWRData[[#This Row],[CPUs]]/AWRData[[#This Row],[Cores]]</f>
        <v>#DIV/0!</v>
      </c>
    </row>
    <row r="19" spans="2:22" s="59" customFormat="1" x14ac:dyDescent="0.4">
      <c r="B19" s="64"/>
      <c r="C19" s="64"/>
      <c r="D19" s="64"/>
      <c r="E19" s="61"/>
      <c r="F19" s="61"/>
      <c r="G19" s="62"/>
      <c r="H19" s="62"/>
      <c r="I19" s="62"/>
      <c r="J19" s="61"/>
      <c r="K19" s="63"/>
      <c r="L19" s="62"/>
      <c r="M19" s="62"/>
      <c r="N19" s="61"/>
      <c r="O19" s="61"/>
      <c r="P19" s="61"/>
      <c r="Q19" s="60"/>
      <c r="R19" s="66">
        <f t="shared" si="0"/>
        <v>0</v>
      </c>
      <c r="S19" s="66">
        <f t="shared" si="1"/>
        <v>0</v>
      </c>
      <c r="T19" s="65">
        <f t="shared" si="2"/>
        <v>0</v>
      </c>
      <c r="U19" s="65">
        <f t="shared" si="3"/>
        <v>0</v>
      </c>
      <c r="V19" s="67" t="e">
        <f>AWRData[[#This Row],[CPUs]]/AWRData[[#This Row],[Cores]]</f>
        <v>#DIV/0!</v>
      </c>
    </row>
    <row r="20" spans="2:22" s="59" customFormat="1" x14ac:dyDescent="0.4">
      <c r="B20" s="64"/>
      <c r="C20" s="64"/>
      <c r="D20" s="64"/>
      <c r="E20" s="61"/>
      <c r="F20" s="61"/>
      <c r="G20" s="62"/>
      <c r="H20" s="62"/>
      <c r="I20" s="62"/>
      <c r="J20" s="61"/>
      <c r="K20" s="63"/>
      <c r="L20" s="62"/>
      <c r="M20" s="62"/>
      <c r="N20" s="61"/>
      <c r="O20" s="61"/>
      <c r="P20" s="61"/>
      <c r="Q20" s="60"/>
      <c r="R20" s="66">
        <f t="shared" si="0"/>
        <v>0</v>
      </c>
      <c r="S20" s="66">
        <f t="shared" si="1"/>
        <v>0</v>
      </c>
      <c r="T20" s="65">
        <f t="shared" si="2"/>
        <v>0</v>
      </c>
      <c r="U20" s="65">
        <f t="shared" si="3"/>
        <v>0</v>
      </c>
      <c r="V20" s="67" t="e">
        <f>AWRData[[#This Row],[CPUs]]/AWRData[[#This Row],[Cores]]</f>
        <v>#DIV/0!</v>
      </c>
    </row>
    <row r="21" spans="2:22" ht="19.3" customHeight="1" x14ac:dyDescent="0.4"/>
    <row r="22" spans="2:22" s="16" customFormat="1" ht="18.45" x14ac:dyDescent="0.5">
      <c r="D22" s="24" t="s">
        <v>10</v>
      </c>
      <c r="E22" s="40">
        <v>2</v>
      </c>
      <c r="F22" s="17"/>
      <c r="H22" s="17"/>
      <c r="R22" s="73"/>
    </row>
    <row r="23" spans="2:22" ht="12.55" customHeight="1" x14ac:dyDescent="0.4">
      <c r="D23" s="24" t="s">
        <v>11</v>
      </c>
      <c r="E23" s="40">
        <v>1.5</v>
      </c>
    </row>
    <row r="24" spans="2:22" ht="13.3" customHeight="1" x14ac:dyDescent="0.4">
      <c r="D24" s="24" t="s">
        <v>39</v>
      </c>
      <c r="E24" s="40">
        <v>2</v>
      </c>
    </row>
    <row r="25" spans="2:22" x14ac:dyDescent="0.4">
      <c r="D25" s="24" t="s">
        <v>54</v>
      </c>
      <c r="E25" s="40">
        <v>2</v>
      </c>
    </row>
    <row r="26" spans="2:22" ht="13.3" customHeight="1" x14ac:dyDescent="0.4">
      <c r="D26" s="24" t="s">
        <v>55</v>
      </c>
      <c r="E26" s="40">
        <v>2</v>
      </c>
    </row>
    <row r="27" spans="2:22" x14ac:dyDescent="0.4">
      <c r="D27" s="24" t="s">
        <v>52</v>
      </c>
      <c r="E27" s="81">
        <v>2</v>
      </c>
    </row>
  </sheetData>
  <phoneticPr fontId="2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S39"/>
  <sheetViews>
    <sheetView tabSelected="1" zoomScaleNormal="100" workbookViewId="0">
      <selection activeCell="A4" sqref="A4:XFD4"/>
    </sheetView>
  </sheetViews>
  <sheetFormatPr defaultRowHeight="14.6" x14ac:dyDescent="0.4"/>
  <cols>
    <col min="2" max="2" width="16.3046875" customWidth="1"/>
    <col min="3" max="3" width="15.3828125" customWidth="1"/>
    <col min="4" max="4" width="19.3828125" customWidth="1"/>
    <col min="5" max="5" width="14.61328125" customWidth="1"/>
    <col min="6" max="6" width="12.61328125" style="3" customWidth="1"/>
    <col min="7" max="7" width="14.3828125" customWidth="1"/>
    <col min="8" max="8" width="12.61328125" style="3" customWidth="1"/>
    <col min="9" max="15" width="12.61328125" customWidth="1"/>
    <col min="16" max="19" width="12.61328125" hidden="1" customWidth="1"/>
    <col min="20" max="20" width="13.84375" customWidth="1"/>
    <col min="21" max="21" width="10.3828125" customWidth="1"/>
    <col min="22" max="22" width="11.15234375" bestFit="1" customWidth="1"/>
    <col min="23" max="23" width="12.61328125" customWidth="1"/>
  </cols>
  <sheetData>
    <row r="1" spans="2:17" s="38" customFormat="1" x14ac:dyDescent="0.4">
      <c r="E1" s="30"/>
      <c r="F1" s="30"/>
      <c r="G1" s="31"/>
      <c r="H1" s="31"/>
      <c r="I1" s="31"/>
      <c r="J1" s="39"/>
      <c r="K1" s="33"/>
      <c r="L1" s="31"/>
      <c r="M1" s="30"/>
      <c r="N1" s="30"/>
      <c r="O1" s="30"/>
      <c r="P1" s="30"/>
      <c r="Q1" s="30"/>
    </row>
    <row r="2" spans="2:17" s="20" customFormat="1" ht="18.45" x14ac:dyDescent="0.5">
      <c r="B2" s="20" t="s">
        <v>41</v>
      </c>
      <c r="E2" s="34"/>
      <c r="F2" s="34"/>
      <c r="G2" s="35"/>
      <c r="H2" s="35"/>
      <c r="I2" s="35"/>
      <c r="J2" s="69"/>
      <c r="K2" s="37"/>
      <c r="L2" s="35"/>
      <c r="M2" s="34"/>
      <c r="N2" s="34"/>
      <c r="O2" s="34"/>
      <c r="P2" s="34"/>
      <c r="Q2" s="34"/>
    </row>
    <row r="3" spans="2:17" s="20" customFormat="1" ht="18.45" x14ac:dyDescent="0.5">
      <c r="B3" s="20" t="s">
        <v>42</v>
      </c>
      <c r="E3" s="34"/>
      <c r="F3" s="34"/>
      <c r="G3" s="35"/>
      <c r="H3" s="35"/>
      <c r="I3" s="35"/>
      <c r="J3" s="69"/>
      <c r="K3" s="37"/>
      <c r="L3" s="35"/>
      <c r="M3" s="34"/>
      <c r="N3" s="34"/>
      <c r="O3" s="34"/>
      <c r="P3" s="34"/>
      <c r="Q3" s="34"/>
    </row>
    <row r="4" spans="2:17" s="16" customFormat="1" ht="18.45" x14ac:dyDescent="0.5">
      <c r="B4" s="16" t="s">
        <v>15</v>
      </c>
      <c r="E4" s="34"/>
      <c r="F4" s="35"/>
      <c r="G4" s="35"/>
      <c r="H4" s="36"/>
      <c r="I4" s="34"/>
      <c r="J4" s="36"/>
      <c r="K4" s="37"/>
      <c r="L4" s="35"/>
      <c r="M4" s="35"/>
      <c r="N4" s="34"/>
      <c r="O4" s="34"/>
      <c r="P4" s="34"/>
      <c r="Q4" s="34"/>
    </row>
    <row r="5" spans="2:17" s="2" customFormat="1" ht="43.75" x14ac:dyDescent="0.4">
      <c r="B5" s="4" t="s">
        <v>0</v>
      </c>
      <c r="C5" s="4" t="s">
        <v>1</v>
      </c>
      <c r="D5" s="6" t="s">
        <v>21</v>
      </c>
      <c r="E5" s="6" t="s">
        <v>34</v>
      </c>
      <c r="F5" s="6" t="s">
        <v>28</v>
      </c>
      <c r="G5" s="6" t="s">
        <v>5</v>
      </c>
      <c r="H5" s="6" t="s">
        <v>47</v>
      </c>
      <c r="I5" s="6" t="s">
        <v>6</v>
      </c>
    </row>
    <row r="6" spans="2:17" ht="15" x14ac:dyDescent="0.4">
      <c r="B6" s="102"/>
      <c r="C6" s="102"/>
      <c r="D6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6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6" s="12" t="str">
        <f>IF(InstSummary[[#This Row],[Instance Name]]="","",SUMIFS(AWRData[ORA use (GB)],AWRData[Instance Name],InstSummary[[#This Row],[Instance Name]]))</f>
        <v/>
      </c>
      <c r="G6" s="9" t="str">
        <f>IF(InstSummary[[#This Row],[Instance Name]]="","",SUMIFS(AWRData[Total IOPS],AWRData[Instance Name],InstSummary[[#This Row],[Instance Name]]))</f>
        <v/>
      </c>
      <c r="H6" s="9" t="str">
        <f>IF(InstSummary[[#This Row],[Instance Name]]="","",SUMIFS(AWRData[Total Throughput (MB/s)],AWRData[Instance Name],InstSummary[[#This Row],[Instance Name]]))</f>
        <v/>
      </c>
      <c r="I6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7" spans="2:17" ht="15.45" x14ac:dyDescent="0.4">
      <c r="B7" s="110"/>
      <c r="C7" s="110"/>
      <c r="D7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7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7" s="12" t="str">
        <f>IF(InstSummary[[#This Row],[Instance Name]]="","",SUMIFS(AWRData[ORA use (GB)],AWRData[Instance Name],InstSummary[[#This Row],[Instance Name]]))</f>
        <v/>
      </c>
      <c r="G7" s="9" t="str">
        <f>IF(InstSummary[[#This Row],[Instance Name]]="","",SUMIFS(AWRData[Total IOPS],AWRData[Instance Name],InstSummary[[#This Row],[Instance Name]]))</f>
        <v/>
      </c>
      <c r="H7" s="9" t="str">
        <f>IF(InstSummary[[#This Row],[Instance Name]]="","",SUMIFS(AWRData[Total Throughput (MB/s)],AWRData[Instance Name],InstSummary[[#This Row],[Instance Name]]))</f>
        <v/>
      </c>
      <c r="I7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8" spans="2:17" ht="15.45" x14ac:dyDescent="0.4">
      <c r="B8" s="110"/>
      <c r="C8" s="102"/>
      <c r="D8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8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8" s="12" t="str">
        <f>IF(InstSummary[[#This Row],[Instance Name]]="","",SUMIFS(AWRData[ORA use (GB)],AWRData[Instance Name],InstSummary[[#This Row],[Instance Name]]))</f>
        <v/>
      </c>
      <c r="G8" s="9" t="str">
        <f>IF(InstSummary[[#This Row],[Instance Name]]="","",SUMIFS(AWRData[Total IOPS],AWRData[Instance Name],InstSummary[[#This Row],[Instance Name]]))</f>
        <v/>
      </c>
      <c r="H8" s="9" t="str">
        <f>IF(InstSummary[[#This Row],[Instance Name]]="","",SUMIFS(AWRData[Total Throughput (MB/s)],AWRData[Instance Name],InstSummary[[#This Row],[Instance Name]]))</f>
        <v/>
      </c>
      <c r="I8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9" spans="2:17" ht="15.45" x14ac:dyDescent="0.4">
      <c r="B9" s="110"/>
      <c r="C9" s="102"/>
      <c r="D9" s="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9" s="7" t="str">
        <f>IF(InstSummary[[#This Row],[Instance Name]]="","",SUMIFS(AWRData[DB CPU (s)],AWRData[Instance Name],InstSummary[[#This Row],[Instance Name]])/SUMIFS(AWRData[CPU total capacity (s)],AWRData[Instance Name],InstSummary[[#This Row],[Instance Name]]))</f>
        <v/>
      </c>
      <c r="F9" s="12" t="str">
        <f>IF(InstSummary[[#This Row],[Instance Name]]="","",SUMIFS(AWRData[ORA use (GB)],AWRData[Instance Name],InstSummary[[#This Row],[Instance Name]]))</f>
        <v/>
      </c>
      <c r="G9" s="9" t="str">
        <f>IF(InstSummary[[#This Row],[Instance Name]]="","",SUMIFS(AWRData[Total IOPS],AWRData[Instance Name],InstSummary[[#This Row],[Instance Name]]))</f>
        <v/>
      </c>
      <c r="H9" s="9" t="str">
        <f>IF(InstSummary[[#This Row],[Instance Name]]="","",SUMIFS(AWRData[Total Throughput (MB/s)],AWRData[Instance Name],InstSummary[[#This Row],[Instance Name]]))</f>
        <v/>
      </c>
      <c r="I9" s="9" t="str">
        <f>IF(InstSummary[[#This Row],[Instance Name]]="","",InstSummary[[#This Row],[%DB Time of Elapsed Time]]*(vCPUHTFactor/SUMIFS(AWRData[source CPU HT factor],AWRData[Instance Name],InstSummary[[#This Row],[Instance Name]])))</f>
        <v/>
      </c>
    </row>
    <row r="10" spans="2:17" x14ac:dyDescent="0.4">
      <c r="D10" s="7"/>
      <c r="E10" s="7"/>
      <c r="F10" s="12"/>
      <c r="G10" s="9"/>
      <c r="H10" s="9"/>
      <c r="I10" s="9"/>
    </row>
    <row r="11" spans="2:17" x14ac:dyDescent="0.4">
      <c r="D11" s="8">
        <f>SUBTOTAL(109,InstSummary[%DB Time of Elapsed Time])</f>
        <v>0</v>
      </c>
      <c r="E11" s="8">
        <f>SUBTOTAL(109,InstSummary[%DB CPU of server capacity])</f>
        <v>0</v>
      </c>
      <c r="F11" s="11">
        <f>SUBTOTAL(109,InstSummary[Total ORA (GB)])</f>
        <v>0</v>
      </c>
      <c r="G11" s="10">
        <f>SUBTOTAL(109,InstSummary[Total IOPS])</f>
        <v>0</v>
      </c>
      <c r="H11" s="10">
        <f>SUBTOTAL(109,InstSummary[Total Throughput (MB/s)])</f>
        <v>0</v>
      </c>
      <c r="I11" s="10">
        <f>SUBTOTAL(109,InstSummary[Est''d Azure vCPUs])</f>
        <v>0</v>
      </c>
    </row>
    <row r="12" spans="2:17" s="38" customFormat="1" x14ac:dyDescent="0.4">
      <c r="E12" s="30"/>
      <c r="F12" s="31"/>
      <c r="G12" s="31"/>
      <c r="H12" s="32"/>
      <c r="I12" s="30"/>
      <c r="J12" s="32"/>
      <c r="K12"/>
      <c r="L12" s="31"/>
      <c r="M12" s="31"/>
      <c r="N12" s="30"/>
      <c r="O12" s="30"/>
      <c r="P12" s="30"/>
      <c r="Q12" s="30"/>
    </row>
    <row r="13" spans="2:17" s="16" customFormat="1" ht="17.8" customHeight="1" x14ac:dyDescent="0.5">
      <c r="B13" s="16" t="s">
        <v>19</v>
      </c>
      <c r="E13" s="18"/>
      <c r="F13" s="19"/>
      <c r="G13" s="18"/>
      <c r="H13" s="19"/>
    </row>
    <row r="14" spans="2:17" s="1" customFormat="1" ht="43.75" x14ac:dyDescent="0.4">
      <c r="B14" s="70" t="s">
        <v>44</v>
      </c>
      <c r="C14" s="4" t="s">
        <v>43</v>
      </c>
      <c r="D14" s="82" t="s">
        <v>21</v>
      </c>
      <c r="E14" s="82" t="s">
        <v>34</v>
      </c>
      <c r="F14" s="82" t="s">
        <v>28</v>
      </c>
      <c r="G14" s="82" t="s">
        <v>5</v>
      </c>
      <c r="H14" s="82" t="s">
        <v>47</v>
      </c>
      <c r="I14" s="82" t="s">
        <v>6</v>
      </c>
    </row>
    <row r="15" spans="2:17" ht="15" customHeight="1" x14ac:dyDescent="0.4">
      <c r="B15" s="98"/>
      <c r="D15" s="83" t="str">
        <f>IF(HostSummary[[#This Row],[Host]]="","",SUMIFS(AWRData[DB Time (mins)],AWRData[Host Name],HostSummary[[#This Row],[Host]])/SUMIFS(AWRData[Elapsed Time (mins)],AWRData[Host Name],HostSummary[[#This Row],[Host]]))</f>
        <v/>
      </c>
      <c r="E15" s="83" t="str">
        <f>IF(HostSummary[[#This Row],[Host]]="","",SUMIFS(AWRData[DB CPU (s)],AWRData[Host Name],HostSummary[[#This Row],[Host]])/SUMIFS(AWRData[CPU total capacity (s)],AWRData[Host Name],HostSummary[[#This Row],[Host]]))</f>
        <v/>
      </c>
      <c r="F15" s="84" t="str">
        <f>IF(HostSummary[[#This Row],[Host]]="","",SUMIFS(AWRData[ORA use (GB)],AWRData[Host Name],HostSummary[[#This Row],[Host]]))</f>
        <v/>
      </c>
      <c r="G15" s="84" t="str">
        <f>IF(HostSummary[[#This Row],[Host]]="","",SUMIFS(AWRData[Total IOPS],AWRData[Host Name],HostSummary[[#This Row],[Host]]))</f>
        <v/>
      </c>
      <c r="H15" s="84" t="str">
        <f>IF(HostSummary[[#This Row],[Host]]="","",SUMIFS(AWRData[Total Throughput (MB/s)],AWRData[Host Name],HostSummary[[#This Row],[Host]]))</f>
        <v/>
      </c>
      <c r="I15" s="84" t="str">
        <f>IF(HostSummary[[#This Row],[Host]]="","",HostSummary[[#This Row],[%DB Time of Elapsed Time]]*(vCPUHTFactor/SUMIFS(AWRData[source CPU HT factor],AWRData[Host Name],HostSummary[[#This Row],[Host]])))</f>
        <v/>
      </c>
    </row>
    <row r="16" spans="2:17" ht="15" customHeight="1" x14ac:dyDescent="0.4">
      <c r="B16" s="110"/>
      <c r="D16" s="83" t="str">
        <f>IF(HostSummary[[#This Row],[Host]]="","",SUMIFS(AWRData[DB Time (mins)],AWRData[Host Name],HostSummary[[#This Row],[Host]])/SUMIFS(AWRData[Elapsed Time (mins)],AWRData[Host Name],HostSummary[[#This Row],[Host]]))</f>
        <v/>
      </c>
      <c r="E16" s="83" t="str">
        <f>IF(HostSummary[[#This Row],[Host]]="","",SUMIFS(AWRData[DB CPU (s)],AWRData[Host Name],HostSummary[[#This Row],[Host]])/SUMIFS(AWRData[CPU total capacity (s)],AWRData[Host Name],HostSummary[[#This Row],[Host]]))</f>
        <v/>
      </c>
      <c r="F16" s="84" t="str">
        <f>IF(HostSummary[[#This Row],[Host]]="","",SUMIFS(AWRData[ORA use (GB)],AWRData[Host Name],HostSummary[[#This Row],[Host]]))</f>
        <v/>
      </c>
      <c r="G16" s="84" t="str">
        <f>IF(HostSummary[[#This Row],[Host]]="","",SUMIFS(AWRData[Total IOPS],AWRData[Host Name],HostSummary[[#This Row],[Host]]))</f>
        <v/>
      </c>
      <c r="H16" s="84" t="str">
        <f>IF(HostSummary[[#This Row],[Host]]="","",SUMIFS(AWRData[Total Throughput (MB/s)],AWRData[Host Name],HostSummary[[#This Row],[Host]]))</f>
        <v/>
      </c>
      <c r="I16" s="84" t="str">
        <f>IF(HostSummary[[#This Row],[Host]]="","",HostSummary[[#This Row],[%DB Time of Elapsed Time]]*(vCPUHTFactor/SUMIFS(AWRData[source CPU HT factor],AWRData[Host Name],HostSummary[[#This Row],[Host]])))</f>
        <v/>
      </c>
    </row>
    <row r="17" spans="2:14" ht="15" customHeight="1" x14ac:dyDescent="0.4">
      <c r="B17" s="98"/>
      <c r="D17" s="83" t="str">
        <f>IF(HostSummary[[#This Row],[Host]]="","",SUMIFS(AWRData[DB Time (mins)],AWRData[Host Name],HostSummary[[#This Row],[Host]])/SUMIFS(AWRData[Elapsed Time (mins)],AWRData[Host Name],HostSummary[[#This Row],[Host]]))</f>
        <v/>
      </c>
      <c r="E17" s="83" t="str">
        <f>IF(HostSummary[[#This Row],[Host]]="","",SUMIFS(AWRData[DB CPU (s)],AWRData[Host Name],HostSummary[[#This Row],[Host]])/SUMIFS(AWRData[CPU total capacity (s)],AWRData[Host Name],HostSummary[[#This Row],[Host]]))</f>
        <v/>
      </c>
      <c r="F17" s="84" t="str">
        <f>IF(HostSummary[[#This Row],[Host]]="","",SUMIFS(AWRData[ORA use (GB)],AWRData[Host Name],HostSummary[[#This Row],[Host]]))</f>
        <v/>
      </c>
      <c r="G17" s="84" t="str">
        <f>IF(HostSummary[[#This Row],[Host]]="","",SUMIFS(AWRData[Total IOPS],AWRData[Host Name],HostSummary[[#This Row],[Host]]))</f>
        <v/>
      </c>
      <c r="H17" s="84" t="str">
        <f>IF(HostSummary[[#This Row],[Host]]="","",SUMIFS(AWRData[Total Throughput (MB/s)],AWRData[Host Name],HostSummary[[#This Row],[Host]]))</f>
        <v/>
      </c>
      <c r="I17" s="84" t="str">
        <f>IF(HostSummary[[#This Row],[Host]]="","",HostSummary[[#This Row],[%DB Time of Elapsed Time]]*(vCPUHTFactor/SUMIFS(AWRData[source CPU HT factor],AWRData[Host Name],HostSummary[[#This Row],[Host]])))</f>
        <v/>
      </c>
    </row>
    <row r="18" spans="2:14" ht="15" customHeight="1" x14ac:dyDescent="0.4">
      <c r="B18" s="98"/>
      <c r="D18" s="83" t="str">
        <f>IF(HostSummary[[#This Row],[Host]]="","",SUMIFS(AWRData[DB Time (mins)],AWRData[Host Name],HostSummary[[#This Row],[Host]])/SUMIFS(AWRData[Elapsed Time (mins)],AWRData[Host Name],HostSummary[[#This Row],[Host]]))</f>
        <v/>
      </c>
      <c r="E18" s="83" t="str">
        <f>IF(HostSummary[[#This Row],[Host]]="","",SUMIFS(AWRData[DB CPU (s)],AWRData[Host Name],HostSummary[[#This Row],[Host]])/SUMIFS(AWRData[CPU total capacity (s)],AWRData[Host Name],HostSummary[[#This Row],[Host]]))</f>
        <v/>
      </c>
      <c r="F18" s="84" t="str">
        <f>IF(HostSummary[[#This Row],[Host]]="","",SUMIFS(AWRData[ORA use (GB)],AWRData[Host Name],HostSummary[[#This Row],[Host]]))</f>
        <v/>
      </c>
      <c r="G18" s="84" t="str">
        <f>IF(HostSummary[[#This Row],[Host]]="","",SUMIFS(AWRData[Total IOPS],AWRData[Host Name],HostSummary[[#This Row],[Host]]))</f>
        <v/>
      </c>
      <c r="H18" s="84" t="str">
        <f>IF(HostSummary[[#This Row],[Host]]="","",SUMIFS(AWRData[Total Throughput (MB/s)],AWRData[Host Name],HostSummary[[#This Row],[Host]]))</f>
        <v/>
      </c>
      <c r="I18" s="84" t="str">
        <f>IF(HostSummary[[#This Row],[Host]]="","",HostSummary[[#This Row],[%DB Time of Elapsed Time]]*(vCPUHTFactor/SUMIFS(AWRData[source CPU HT factor],AWRData[Host Name],HostSummary[[#This Row],[Host]])))</f>
        <v/>
      </c>
    </row>
    <row r="19" spans="2:14" x14ac:dyDescent="0.4">
      <c r="B19" s="64"/>
      <c r="D19" s="83"/>
      <c r="E19" s="83"/>
      <c r="F19" s="84"/>
      <c r="G19" s="84"/>
      <c r="H19" s="84"/>
      <c r="I19" s="84"/>
    </row>
    <row r="20" spans="2:14" x14ac:dyDescent="0.4">
      <c r="B20" t="s">
        <v>7</v>
      </c>
      <c r="D20" s="85">
        <f>SUBTOTAL(109,HostSummary[%DB Time of Elapsed Time])</f>
        <v>0</v>
      </c>
      <c r="E20" s="85"/>
      <c r="F20" s="86">
        <f>SUBTOTAL(109,HostSummary[Total ORA (GB)])</f>
        <v>0</v>
      </c>
      <c r="G20" s="86">
        <f>SUBTOTAL(109,HostSummary[Total IOPS])</f>
        <v>0</v>
      </c>
      <c r="H20" s="86">
        <f>SUBTOTAL(109,HostSummary[Total Throughput (MB/s)])</f>
        <v>0</v>
      </c>
      <c r="I20" s="86">
        <f>SUBTOTAL(109,HostSummary[Est''d Azure vCPUs])</f>
        <v>0</v>
      </c>
    </row>
    <row r="21" spans="2:14" x14ac:dyDescent="0.4">
      <c r="F21"/>
      <c r="H21"/>
    </row>
    <row r="22" spans="2:14" s="20" customFormat="1" ht="18.45" x14ac:dyDescent="0.5">
      <c r="B22" s="20" t="s">
        <v>20</v>
      </c>
      <c r="D22" s="21"/>
      <c r="F22" s="22"/>
      <c r="G22" s="23"/>
    </row>
    <row r="23" spans="2:14" s="2" customFormat="1" ht="58.3" x14ac:dyDescent="0.4">
      <c r="B23" s="4" t="s">
        <v>0</v>
      </c>
      <c r="C23" s="76" t="s">
        <v>21</v>
      </c>
      <c r="D23" s="76" t="s">
        <v>50</v>
      </c>
      <c r="E23" s="13" t="s">
        <v>51</v>
      </c>
      <c r="F23" s="76" t="s">
        <v>5</v>
      </c>
      <c r="G23" s="76" t="s">
        <v>47</v>
      </c>
      <c r="H23" s="13" t="s">
        <v>48</v>
      </c>
      <c r="I23" s="13" t="s">
        <v>49</v>
      </c>
      <c r="J23" s="76" t="s">
        <v>8</v>
      </c>
      <c r="K23" s="13" t="s">
        <v>9</v>
      </c>
    </row>
    <row r="24" spans="2:14" ht="15" x14ac:dyDescent="0.4">
      <c r="B24" s="102" t="s">
        <v>56</v>
      </c>
      <c r="C24" s="83" t="e">
        <f>IF(DBSummary[[#This Row],[DB Name]]="","",SUMIFS(AWRData[DB Time (mins)],AWRData[DB Name],DBSummary[[#This Row],[DB Name]])/SUMIFS(AWRData[Elapsed Time (mins)],AWRData[DB Name],DBSummary[[#This Row],[DB Name]]))</f>
        <v>#DIV/0!</v>
      </c>
      <c r="D24" s="88">
        <f>IF(DBSummary[[#This Row],[DB Name]]="","",SUMIFS(AWRData[ORA use (GB)],AWRData[DB Name],DBSummary[[#This Row],[DB Name]]))</f>
        <v>0</v>
      </c>
      <c r="E24" s="14">
        <f>IF(DBSummary[[#This Row],[DB Name]]="","",PeakRAMfactor*DBSummary[[#This Row],[Total vRAM (GiB) consumed only by Oracle]])</f>
        <v>0</v>
      </c>
      <c r="F24" s="87">
        <f>IF(DBSummary[[#This Row],[DB Name]]="","",SUMIFS(AWRData[Total IOPS],AWRData[DB Name],DBSummary[[#This Row],[DB Name]]))</f>
        <v>0</v>
      </c>
      <c r="G24" s="87">
        <f>IF(DBSummary[[#This Row],[DB Name]]="","",SUMIFS(AWRData[Total Throughput (MB/s)],AWRData[DB Name],DBSummary[[#This Row],[DB Name]]))</f>
        <v>0</v>
      </c>
      <c r="H24" s="77">
        <f>IF(DBSummary[[#This Row],[DB Name]]="","",DBSummary[[#This Row],[Total IOPS]]*IoMetricsFactor)</f>
        <v>0</v>
      </c>
      <c r="I24" s="77">
        <f>IF(DBSummary[[#This Row],[DB Name]]="","",DBSummary[[#This Row],[Total Throughput (MB/s)]]*IoMetricsFactor)</f>
        <v>0</v>
      </c>
      <c r="J24" s="50">
        <f>IF(DBSummary[[#This Row],[DB Name]]="","",ROUND(SUMIFS(InstSummary[Est''d Azure vCPUs],InstSummary[DB Name],DBSummary[[#This Row],[DB Name]])+0.5,0))</f>
        <v>1</v>
      </c>
      <c r="K24" s="68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>2</v>
      </c>
    </row>
    <row r="25" spans="2:14" ht="15.9" x14ac:dyDescent="0.4">
      <c r="B25" s="97"/>
      <c r="C25" s="83" t="str">
        <f>IF(DBSummary[[#This Row],[DB Name]]="","",SUMIFS(AWRData[DB Time (mins)],AWRData[DB Name],DBSummary[[#This Row],[DB Name]])/SUMIFS(AWRData[Elapsed Time (mins)],AWRData[DB Name],DBSummary[[#This Row],[DB Name]]))</f>
        <v/>
      </c>
      <c r="D25" s="88" t="str">
        <f>IF(DBSummary[[#This Row],[DB Name]]="","",SUMIFS(AWRData[ORA use (GB)],AWRData[DB Name],DBSummary[[#This Row],[DB Name]]))</f>
        <v/>
      </c>
      <c r="E25" s="14" t="str">
        <f>IF(DBSummary[[#This Row],[DB Name]]="","",PeakRAMfactor*DBSummary[[#This Row],[Total vRAM (GiB) consumed only by Oracle]])</f>
        <v/>
      </c>
      <c r="F25" s="87" t="str">
        <f>IF(DBSummary[[#This Row],[DB Name]]="","",SUMIFS(AWRData[Total IOPS],AWRData[DB Name],DBSummary[[#This Row],[DB Name]]))</f>
        <v/>
      </c>
      <c r="G25" s="87" t="str">
        <f>IF(DBSummary[[#This Row],[DB Name]]="","",SUMIFS(AWRData[Total Throughput (MB/s)],AWRData[DB Name],DBSummary[[#This Row],[DB Name]]))</f>
        <v/>
      </c>
      <c r="H25" s="77" t="str">
        <f>IF(DBSummary[[#This Row],[DB Name]]="","",DBSummary[[#This Row],[Total IOPS]]*IoMetricsFactor)</f>
        <v/>
      </c>
      <c r="I25" s="77" t="str">
        <f>IF(DBSummary[[#This Row],[DB Name]]="","",DBSummary[[#This Row],[Total Throughput (MB/s)]]*IoMetricsFactor)</f>
        <v/>
      </c>
      <c r="J25" s="50" t="str">
        <f>IF(DBSummary[[#This Row],[DB Name]]="","",ROUND(SUMIFS(InstSummary[Est''d Azure vCPUs],InstSummary[DB Name],DBSummary[[#This Row],[DB Name]])+0.5,0))</f>
        <v/>
      </c>
      <c r="K25" s="68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26" spans="2:14" ht="15.9" x14ac:dyDescent="0.4">
      <c r="B26" s="97"/>
      <c r="C26" s="83" t="str">
        <f>IF(DBSummary[[#This Row],[DB Name]]="","",SUMIFS(AWRData[DB Time (mins)],AWRData[DB Name],DBSummary[[#This Row],[DB Name]])/SUMIFS(AWRData[Elapsed Time (mins)],AWRData[DB Name],DBSummary[[#This Row],[DB Name]]))</f>
        <v/>
      </c>
      <c r="D26" s="88" t="str">
        <f>IF(DBSummary[[#This Row],[DB Name]]="","",SUMIFS(AWRData[ORA use (GB)],AWRData[DB Name],DBSummary[[#This Row],[DB Name]]))</f>
        <v/>
      </c>
      <c r="E26" s="14" t="str">
        <f>IF(DBSummary[[#This Row],[DB Name]]="","",PeakRAMfactor*DBSummary[[#This Row],[Total vRAM (GiB) consumed only by Oracle]])</f>
        <v/>
      </c>
      <c r="F26" s="87" t="str">
        <f>IF(DBSummary[[#This Row],[DB Name]]="","",SUMIFS(AWRData[Total IOPS],AWRData[DB Name],DBSummary[[#This Row],[DB Name]]))</f>
        <v/>
      </c>
      <c r="G26" s="87" t="str">
        <f>IF(DBSummary[[#This Row],[DB Name]]="","",SUMIFS(AWRData[Total Throughput (MB/s)],AWRData[DB Name],DBSummary[[#This Row],[DB Name]]))</f>
        <v/>
      </c>
      <c r="H26" s="77" t="str">
        <f>IF(DBSummary[[#This Row],[DB Name]]="","",DBSummary[[#This Row],[Total IOPS]]*IoMetricsFactor)</f>
        <v/>
      </c>
      <c r="I26" s="77" t="str">
        <f>IF(DBSummary[[#This Row],[DB Name]]="","",DBSummary[[#This Row],[Total Throughput (MB/s)]]*IoMetricsFactor)</f>
        <v/>
      </c>
      <c r="J26" s="50" t="str">
        <f>IF(DBSummary[[#This Row],[DB Name]]="","",ROUND(SUMIFS(InstSummary[Est''d Azure vCPUs],InstSummary[DB Name],DBSummary[[#This Row],[DB Name]])+0.5,0))</f>
        <v/>
      </c>
      <c r="K26" s="68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27" spans="2:14" ht="15.9" x14ac:dyDescent="0.4">
      <c r="B27" s="97"/>
      <c r="C27" s="83" t="str">
        <f>IF(DBSummary[[#This Row],[DB Name]]="","",SUMIFS(AWRData[DB Time (mins)],AWRData[DB Name],DBSummary[[#This Row],[DB Name]])/SUMIFS(AWRData[Elapsed Time (mins)],AWRData[DB Name],DBSummary[[#This Row],[DB Name]]))</f>
        <v/>
      </c>
      <c r="D27" s="88" t="str">
        <f>IF(DBSummary[[#This Row],[DB Name]]="","",SUMIFS(AWRData[ORA use (GB)],AWRData[DB Name],DBSummary[[#This Row],[DB Name]]))</f>
        <v/>
      </c>
      <c r="E27" s="14" t="str">
        <f>IF(DBSummary[[#This Row],[DB Name]]="","",PeakRAMfactor*DBSummary[[#This Row],[Total vRAM (GiB) consumed only by Oracle]])</f>
        <v/>
      </c>
      <c r="F27" s="87" t="str">
        <f>IF(DBSummary[[#This Row],[DB Name]]="","",SUMIFS(AWRData[Total IOPS],AWRData[DB Name],DBSummary[[#This Row],[DB Name]]))</f>
        <v/>
      </c>
      <c r="G27" s="87" t="str">
        <f>IF(DBSummary[[#This Row],[DB Name]]="","",SUMIFS(AWRData[Total Throughput (MB/s)],AWRData[DB Name],DBSummary[[#This Row],[DB Name]]))</f>
        <v/>
      </c>
      <c r="H27" s="77" t="str">
        <f>IF(DBSummary[[#This Row],[DB Name]]="","",DBSummary[[#This Row],[Total IOPS]]*IoMetricsFactor)</f>
        <v/>
      </c>
      <c r="I27" s="77" t="str">
        <f>IF(DBSummary[[#This Row],[DB Name]]="","",DBSummary[[#This Row],[Total Throughput (MB/s)]]*IoMetricsFactor)</f>
        <v/>
      </c>
      <c r="J27" s="50" t="str">
        <f>IF(DBSummary[[#This Row],[DB Name]]="","",ROUND(SUMIFS(InstSummary[Est''d Azure vCPUs],InstSummary[DB Name],DBSummary[[#This Row],[DB Name]])+0.5,0))</f>
        <v/>
      </c>
      <c r="K27" s="68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28" spans="2:14" x14ac:dyDescent="0.4">
      <c r="B28" s="38"/>
      <c r="C28" s="90" t="str">
        <f>IF(DBSummary[[#This Row],[DB Name]]="","",SUMIFS(AWRData[DB Time (mins)],AWRData[DB Name],DBSummary[[#This Row],[DB Name]])/SUMIFS(AWRData[Elapsed Time (mins)],AWRData[DB Name],DBSummary[[#This Row],[DB Name]]))</f>
        <v/>
      </c>
      <c r="D28" s="91" t="str">
        <f>IF(DBSummary[[#This Row],[DB Name]]="","",SUMIFS(AWRData[ORA use (GB)],AWRData[DB Name],DBSummary[[#This Row],[DB Name]]))</f>
        <v/>
      </c>
      <c r="E28" s="52" t="str">
        <f>IF(DBSummary[[#This Row],[DB Name]]="","",PeakRAMfactor*DBSummary[[#This Row],[Total vRAM (GiB) consumed only by Oracle]])</f>
        <v/>
      </c>
      <c r="F28" s="89" t="str">
        <f>IF(DBSummary[[#This Row],[DB Name]]="","",SUMIFS(AWRData[Total IOPS],AWRData[DB Name],DBSummary[[#This Row],[DB Name]]))</f>
        <v/>
      </c>
      <c r="G28" s="89" t="str">
        <f>IF(DBSummary[[#This Row],[DB Name]]="","",SUMIFS(AWRData[Total Throughput (MB/s)],AWRData[DB Name],DBSummary[[#This Row],[DB Name]]))</f>
        <v/>
      </c>
      <c r="H28" s="78" t="str">
        <f>IF(DBSummary[[#This Row],[DB Name]]="","",DBSummary[[#This Row],[Total IOPS]]*IoMetricsFactor)</f>
        <v/>
      </c>
      <c r="I28" s="78" t="str">
        <f>IF(DBSummary[[#This Row],[DB Name]]="","",DBSummary[[#This Row],[Total Throughput (MB/s)]]*IoMetricsFactor)</f>
        <v/>
      </c>
      <c r="J28" s="95" t="str">
        <f>IF(DBSummary[[#This Row],[DB Name]]="","",ROUND(SUMIFS(InstSummary[Est''d Azure vCPUs],InstSummary[DB Name],DBSummary[[#This Row],[DB Name]])+0.5,0))</f>
        <v/>
      </c>
      <c r="K28" s="68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29" spans="2:14" s="38" customFormat="1" x14ac:dyDescent="0.4">
      <c r="B29" t="s">
        <v>7</v>
      </c>
      <c r="C29" s="93" t="e">
        <f>SUBTOTAL(109,DBSummary[%DB Time of Elapsed Time])</f>
        <v>#DIV/0!</v>
      </c>
      <c r="D29" s="94">
        <f>SUBTOTAL(109,DBSummary[Total vRAM (GiB) consumed only by Oracle])</f>
        <v>0</v>
      </c>
      <c r="E29" s="15">
        <f>SUBTOTAL(109,DBSummary[Est''d Azure vRAM for server])</f>
        <v>0</v>
      </c>
      <c r="F29" s="92">
        <f>SUBTOTAL(109,DBSummary[Total IOPS])</f>
        <v>0</v>
      </c>
      <c r="G29" s="92">
        <f>SUBTOTAL(109,DBSummary[Total Throughput (MB/s)])</f>
        <v>0</v>
      </c>
      <c r="H29" s="79">
        <f>SUBTOTAL(109,DBSummary[Est''d Azure IOPS for peak load])</f>
        <v>0</v>
      </c>
      <c r="I29" s="79">
        <f>SUBTOTAL(109,DBSummary[Est''d Azure Throughput (MB/s) for peak load])</f>
        <v>0</v>
      </c>
      <c r="J29" s="96">
        <f>SUBTOTAL(109,DBSummary[Est''d Azure vCPUs for avg load])</f>
        <v>1</v>
      </c>
      <c r="K29" s="80">
        <f>SUBTOTAL(109,DBSummary[Est''d Azure vCPUs for peak load])</f>
        <v>2</v>
      </c>
    </row>
    <row r="30" spans="2:14" s="38" customFormat="1" ht="15" thickBot="1" x14ac:dyDescent="0.45">
      <c r="C30" s="30"/>
      <c r="D30" s="39"/>
      <c r="E30" s="31"/>
      <c r="F30" s="31"/>
      <c r="G30" s="51"/>
      <c r="H30" s="52"/>
      <c r="I30" s="30"/>
      <c r="J30" s="30"/>
      <c r="K30" s="30"/>
      <c r="L30" s="53"/>
      <c r="M30" s="54"/>
      <c r="N30" s="55"/>
    </row>
    <row r="31" spans="2:14" s="16" customFormat="1" ht="18.45" x14ac:dyDescent="0.5">
      <c r="B31" s="56" t="s">
        <v>12</v>
      </c>
      <c r="C31" s="57"/>
      <c r="D31" s="58"/>
    </row>
    <row r="32" spans="2:14" ht="15" thickBot="1" x14ac:dyDescent="0.45">
      <c r="B32" s="41" t="s">
        <v>35</v>
      </c>
      <c r="C32" s="42"/>
      <c r="D32" s="42"/>
      <c r="F32" s="47"/>
      <c r="G32" s="48" t="s">
        <v>53</v>
      </c>
      <c r="H32" s="48"/>
      <c r="I32" s="49"/>
    </row>
    <row r="33" spans="2:9" x14ac:dyDescent="0.4">
      <c r="B33" s="27" t="s">
        <v>14</v>
      </c>
      <c r="C33" s="28"/>
      <c r="D33" s="29" t="s">
        <v>29</v>
      </c>
      <c r="E33" s="29" t="s">
        <v>13</v>
      </c>
      <c r="F33" s="46" t="s">
        <v>30</v>
      </c>
      <c r="G33" s="46" t="s">
        <v>31</v>
      </c>
      <c r="H33" s="46" t="s">
        <v>32</v>
      </c>
      <c r="I33" s="46" t="s">
        <v>56</v>
      </c>
    </row>
    <row r="34" spans="2:9" x14ac:dyDescent="0.4">
      <c r="B34" s="26"/>
      <c r="C34" s="5"/>
      <c r="D34" s="25" t="s">
        <v>56</v>
      </c>
      <c r="E34" s="25" t="s">
        <v>56</v>
      </c>
      <c r="F34" s="117" t="s">
        <v>56</v>
      </c>
      <c r="G34" s="116" t="s">
        <v>56</v>
      </c>
      <c r="H34" s="116" t="s">
        <v>56</v>
      </c>
      <c r="I34" s="45"/>
    </row>
    <row r="35" spans="2:9" x14ac:dyDescent="0.4">
      <c r="B35" s="71" t="s">
        <v>58</v>
      </c>
      <c r="C35" s="72"/>
      <c r="D35" s="25"/>
      <c r="E35" s="25"/>
      <c r="F35" s="44"/>
      <c r="G35" s="45"/>
      <c r="H35" s="45"/>
      <c r="I35" s="45"/>
    </row>
    <row r="36" spans="2:9" x14ac:dyDescent="0.4">
      <c r="D36" s="43"/>
      <c r="E36" t="s">
        <v>60</v>
      </c>
    </row>
    <row r="37" spans="2:9" x14ac:dyDescent="0.4">
      <c r="E37" t="s">
        <v>57</v>
      </c>
    </row>
    <row r="38" spans="2:9" x14ac:dyDescent="0.4">
      <c r="B38" s="101" t="s">
        <v>56</v>
      </c>
      <c r="E38" t="s">
        <v>59</v>
      </c>
    </row>
    <row r="39" spans="2:9" x14ac:dyDescent="0.4">
      <c r="E39" t="s">
        <v>61</v>
      </c>
    </row>
  </sheetData>
  <phoneticPr fontId="2" type="noConversion"/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63eb5b6b-d294-44c1-a89e-568cc98c47c6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1C4A22E66A8842A29D50BB25E22F9F" ma:contentTypeVersion="13" ma:contentTypeDescription="Create a new document." ma:contentTypeScope="" ma:versionID="db8f77ba8676e9b340abe0055f3c60b0">
  <xsd:schema xmlns:xsd="http://www.w3.org/2001/XMLSchema" xmlns:xs="http://www.w3.org/2001/XMLSchema" xmlns:p="http://schemas.microsoft.com/office/2006/metadata/properties" xmlns:ns3="63eb5b6b-d294-44c1-a89e-568cc98c47c6" xmlns:ns4="0ccd8510-5f52-4b98-b5f8-5fe27abbbc76" targetNamespace="http://schemas.microsoft.com/office/2006/metadata/properties" ma:root="true" ma:fieldsID="34bf023868f32af8dbc4ee2a1fdb083d" ns3:_="" ns4:_="">
    <xsd:import namespace="63eb5b6b-d294-44c1-a89e-568cc98c47c6"/>
    <xsd:import namespace="0ccd8510-5f52-4b98-b5f8-5fe27abbbc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eb5b6b-d294-44c1-a89e-568cc98c47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cd8510-5f52-4b98-b5f8-5fe27abbbc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30638A-4889-4E15-9F6E-ED97FA1166E7}">
  <ds:schemaRefs>
    <ds:schemaRef ds:uri="0ccd8510-5f52-4b98-b5f8-5fe27abbbc7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3eb5b6b-d294-44c1-a89e-568cc98c47c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2BFB907-8DC0-44FC-B4B8-7A8B7F32B7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eb5b6b-d294-44c1-a89e-568cc98c47c6"/>
    <ds:schemaRef ds:uri="0ccd8510-5f52-4b98-b5f8-5fe27abbbc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AWR</vt:lpstr>
      <vt:lpstr>Calculations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Kellyn Gorman</dc:creator>
  <cp:keywords/>
  <dc:description/>
  <cp:lastModifiedBy>Kellyn Gorman</cp:lastModifiedBy>
  <cp:revision/>
  <dcterms:created xsi:type="dcterms:W3CDTF">2020-01-17T18:08:18Z</dcterms:created>
  <dcterms:modified xsi:type="dcterms:W3CDTF">2020-05-29T15:58:19Z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0x010100101C4A22E66A8842A29D50BB25E22F9F</vt:lpwstr>
  </property>
</Properties>
</file>